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rubennunezsanchez/Documents/ESCUELA/8. Octavo Semestre/Carteras/Códigos/"/>
    </mc:Choice>
  </mc:AlternateContent>
  <xr:revisionPtr revIDLastSave="0" documentId="13_ncr:1_{3825B9BE-8C53-7C43-9FC5-040824960137}" xr6:coauthVersionLast="47" xr6:coauthVersionMax="47" xr10:uidLastSave="{00000000-0000-0000-0000-000000000000}"/>
  <bookViews>
    <workbookView xWindow="0" yWindow="740" windowWidth="29400" windowHeight="18380" xr2:uid="{00000000-000D-0000-FFFF-FFFF00000000}"/>
  </bookViews>
  <sheets>
    <sheet name="UX (2)" sheetId="7" r:id="rId1"/>
    <sheet name="UX" sheetId="5" r:id="rId2"/>
    <sheet name="BIMBOA.MX (2)" sheetId="1" state="hidden" r:id="rId3"/>
    <sheet name="Datos" sheetId="2" r:id="rId4"/>
    <sheet name="Graficos" sheetId="3" state="hidden" r:id="rId5"/>
    <sheet name="Aux" sheetId="4" state="hidden" r:id="rId6"/>
    <sheet name="Referencias" sheetId="6" r:id="rId7"/>
  </sheets>
  <definedNames>
    <definedName name="_xlnm._FilterDatabase" localSheetId="2" hidden="1">'BIMBOA.MX (2)'!$A$1:$E$254</definedName>
    <definedName name="_xlnm._FilterDatabase" localSheetId="3" hidden="1">Datos!$A$1:$E$203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2" i="7" l="1"/>
  <c r="D18" i="7"/>
  <c r="D17" i="7"/>
  <c r="D16" i="7"/>
  <c r="B22" i="5"/>
  <c r="D18" i="5"/>
  <c r="D19" i="5"/>
  <c r="D17" i="5"/>
  <c r="J7" i="1"/>
  <c r="J6" i="1"/>
  <c r="J8" i="1"/>
  <c r="J9" i="1" s="1"/>
  <c r="J10" i="1" s="1"/>
  <c r="J11" i="1" s="1"/>
  <c r="J12" i="1" s="1"/>
  <c r="J13" i="1" s="1"/>
  <c r="J14" i="1" s="1"/>
  <c r="J15" i="1" s="1"/>
  <c r="J16" i="1" s="1"/>
  <c r="J17" i="1" s="1"/>
  <c r="J18" i="1" s="1"/>
  <c r="J19" i="1" s="1"/>
  <c r="J20" i="1" s="1"/>
  <c r="J21" i="1" s="1"/>
  <c r="J22" i="1" s="1"/>
  <c r="J23" i="1" s="1"/>
  <c r="J24" i="1" s="1"/>
  <c r="J25" i="1" s="1"/>
  <c r="J26" i="1" s="1"/>
  <c r="J27" i="1" s="1"/>
  <c r="J28" i="1" s="1"/>
  <c r="J29" i="1" s="1"/>
  <c r="J30" i="1" s="1"/>
  <c r="J31" i="1" s="1"/>
  <c r="J32" i="1" s="1"/>
  <c r="J33" i="1" s="1"/>
  <c r="J34" i="1" s="1"/>
  <c r="J35" i="1" s="1"/>
  <c r="J36" i="1" s="1"/>
  <c r="J37" i="1" s="1"/>
  <c r="J38" i="1" s="1"/>
  <c r="J39" i="1" s="1"/>
  <c r="J40" i="1" s="1"/>
  <c r="J41" i="1" s="1"/>
  <c r="J42" i="1" s="1"/>
  <c r="J43" i="1" s="1"/>
  <c r="J44" i="1" s="1"/>
  <c r="J45" i="1" s="1"/>
  <c r="J46" i="1" s="1"/>
  <c r="J47" i="1" s="1"/>
  <c r="J48" i="1" s="1"/>
  <c r="J49" i="1" s="1"/>
  <c r="J50" i="1" s="1"/>
  <c r="J51" i="1" s="1"/>
  <c r="J52" i="1" s="1"/>
  <c r="J53" i="1" s="1"/>
  <c r="J54" i="1" s="1"/>
  <c r="J55" i="1" s="1"/>
  <c r="J56" i="1" s="1"/>
  <c r="J57" i="1" s="1"/>
  <c r="J58" i="1" s="1"/>
  <c r="J59" i="1" s="1"/>
  <c r="J60" i="1" s="1"/>
  <c r="J61" i="1" s="1"/>
  <c r="J62" i="1" s="1"/>
  <c r="J63" i="1" s="1"/>
  <c r="J64" i="1" s="1"/>
  <c r="J65" i="1" s="1"/>
  <c r="J66" i="1" s="1"/>
  <c r="J67" i="1" s="1"/>
  <c r="J68" i="1" s="1"/>
  <c r="J69" i="1" s="1"/>
  <c r="J70" i="1" s="1"/>
  <c r="J71" i="1" s="1"/>
  <c r="J72" i="1" s="1"/>
  <c r="J73" i="1" s="1"/>
  <c r="J74" i="1" s="1"/>
  <c r="J75" i="1" s="1"/>
  <c r="J76" i="1" s="1"/>
  <c r="J77" i="1" s="1"/>
  <c r="J78" i="1" s="1"/>
  <c r="J79" i="1" s="1"/>
  <c r="J80" i="1" s="1"/>
  <c r="J81" i="1" s="1"/>
  <c r="J82" i="1" s="1"/>
  <c r="J83" i="1" s="1"/>
  <c r="J84" i="1" s="1"/>
  <c r="J85" i="1" s="1"/>
  <c r="J86" i="1" s="1"/>
  <c r="J87" i="1" s="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J183" i="1" s="1"/>
  <c r="J184" i="1" s="1"/>
  <c r="J185" i="1" s="1"/>
  <c r="J186" i="1" s="1"/>
  <c r="J187" i="1" s="1"/>
  <c r="J188" i="1" s="1"/>
  <c r="J189" i="1" s="1"/>
  <c r="J190" i="1" s="1"/>
  <c r="J191" i="1" s="1"/>
  <c r="J192" i="1" s="1"/>
  <c r="J193" i="1" s="1"/>
  <c r="J194" i="1" s="1"/>
  <c r="J195" i="1" s="1"/>
  <c r="J196" i="1" s="1"/>
  <c r="J197" i="1" s="1"/>
  <c r="J198" i="1" s="1"/>
  <c r="J199" i="1" s="1"/>
  <c r="J200" i="1" s="1"/>
  <c r="J201" i="1" s="1"/>
  <c r="J202" i="1" s="1"/>
  <c r="J203" i="1" s="1"/>
  <c r="J204" i="1" s="1"/>
  <c r="J205" i="1" s="1"/>
  <c r="J206" i="1" s="1"/>
  <c r="J207" i="1" s="1"/>
  <c r="J208" i="1" s="1"/>
  <c r="J209" i="1" s="1"/>
  <c r="J210" i="1" s="1"/>
  <c r="J211" i="1" s="1"/>
  <c r="J212" i="1" s="1"/>
  <c r="J213" i="1" s="1"/>
  <c r="J214" i="1" s="1"/>
  <c r="J215" i="1" s="1"/>
  <c r="J216" i="1" s="1"/>
  <c r="J217" i="1" s="1"/>
  <c r="J218" i="1" s="1"/>
  <c r="J219" i="1" s="1"/>
  <c r="J220" i="1" s="1"/>
  <c r="J221" i="1" s="1"/>
  <c r="J222" i="1" s="1"/>
  <c r="J223" i="1" s="1"/>
  <c r="J224" i="1" s="1"/>
  <c r="J225" i="1" s="1"/>
  <c r="J226" i="1" s="1"/>
  <c r="J227" i="1" s="1"/>
  <c r="J228" i="1" s="1"/>
  <c r="J229" i="1" s="1"/>
  <c r="J230" i="1" s="1"/>
  <c r="J231" i="1" s="1"/>
  <c r="J232" i="1" s="1"/>
  <c r="J233" i="1" s="1"/>
  <c r="J234" i="1" s="1"/>
  <c r="J235" i="1" s="1"/>
  <c r="J236" i="1" s="1"/>
  <c r="J237" i="1" s="1"/>
  <c r="J238" i="1" s="1"/>
  <c r="J239" i="1" s="1"/>
  <c r="J240" i="1" s="1"/>
  <c r="J241" i="1" s="1"/>
  <c r="J242" i="1" s="1"/>
  <c r="J243" i="1" s="1"/>
  <c r="J244" i="1" s="1"/>
  <c r="J245" i="1" s="1"/>
  <c r="J246" i="1" s="1"/>
  <c r="J247" i="1" s="1"/>
  <c r="J248" i="1" s="1"/>
  <c r="J249" i="1" s="1"/>
  <c r="J250" i="1" s="1"/>
  <c r="J251" i="1" s="1"/>
  <c r="J252" i="1" s="1"/>
  <c r="J253" i="1" s="1"/>
  <c r="J254" i="1" s="1"/>
  <c r="L7" i="1"/>
  <c r="J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L2" i="1"/>
  <c r="K6"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7" i="1"/>
  <c r="H8" i="1"/>
  <c r="H9" i="1"/>
  <c r="H10" i="1"/>
  <c r="H11" i="1"/>
  <c r="H12" i="1"/>
  <c r="H13" i="1"/>
  <c r="H14" i="1"/>
  <c r="H15" i="1"/>
  <c r="H5" i="1"/>
  <c r="H6"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31" i="1"/>
  <c r="I66" i="1" l="1"/>
  <c r="L3" i="1"/>
  <c r="I209" i="1"/>
  <c r="I145" i="1"/>
  <c r="I81" i="1"/>
  <c r="I17" i="1"/>
  <c r="I42" i="1"/>
  <c r="L4" i="1"/>
  <c r="I57" i="1" s="1"/>
  <c r="I216" i="1"/>
  <c r="I208" i="1"/>
  <c r="I152" i="1"/>
  <c r="I144" i="1"/>
  <c r="I88" i="1"/>
  <c r="I80" i="1"/>
  <c r="I24" i="1"/>
  <c r="I16" i="1"/>
  <c r="I50" i="1"/>
  <c r="I18" i="1"/>
  <c r="I207" i="1"/>
  <c r="I199" i="1"/>
  <c r="I143" i="1"/>
  <c r="I135" i="1"/>
  <c r="I79" i="1"/>
  <c r="I71" i="1"/>
  <c r="I15" i="1"/>
  <c r="I7" i="1"/>
  <c r="I254" i="1"/>
  <c r="I246" i="1"/>
  <c r="I190" i="1"/>
  <c r="I182" i="1"/>
  <c r="I126" i="1"/>
  <c r="I118" i="1"/>
  <c r="I62" i="1"/>
  <c r="I54" i="1"/>
  <c r="I242" i="1"/>
  <c r="I170" i="1"/>
  <c r="I205" i="1"/>
  <c r="I197" i="1"/>
  <c r="I141" i="1"/>
  <c r="I133" i="1"/>
  <c r="I77" i="1"/>
  <c r="I69" i="1"/>
  <c r="I13" i="1"/>
  <c r="I226" i="1"/>
  <c r="I212" i="1"/>
  <c r="I204" i="1"/>
  <c r="I148" i="1"/>
  <c r="I140" i="1"/>
  <c r="I84" i="1"/>
  <c r="I76" i="1"/>
  <c r="I20" i="1"/>
  <c r="L6" i="1"/>
  <c r="L5" i="1"/>
  <c r="I194" i="1" s="1"/>
  <c r="I60" i="1" l="1"/>
  <c r="I124" i="1"/>
  <c r="I188" i="1"/>
  <c r="I252" i="1"/>
  <c r="I53" i="1"/>
  <c r="I117" i="1"/>
  <c r="I181" i="1"/>
  <c r="I245" i="1"/>
  <c r="I38" i="1"/>
  <c r="I102" i="1"/>
  <c r="I166" i="1"/>
  <c r="I230" i="1"/>
  <c r="I178" i="1"/>
  <c r="I55" i="1"/>
  <c r="I119" i="1"/>
  <c r="I183" i="1"/>
  <c r="I247" i="1"/>
  <c r="I250" i="1"/>
  <c r="I64" i="1"/>
  <c r="I128" i="1"/>
  <c r="I192" i="1"/>
  <c r="I234" i="1"/>
  <c r="I65" i="1"/>
  <c r="I129" i="1"/>
  <c r="I193" i="1"/>
  <c r="I19" i="1"/>
  <c r="I67" i="1"/>
  <c r="I123" i="1"/>
  <c r="I171" i="1"/>
  <c r="I227" i="1"/>
  <c r="I43" i="1"/>
  <c r="I91" i="1"/>
  <c r="I139" i="1"/>
  <c r="I187" i="1"/>
  <c r="I235" i="1"/>
  <c r="I35" i="1"/>
  <c r="I75" i="1"/>
  <c r="I115" i="1"/>
  <c r="I163" i="1"/>
  <c r="I211" i="1"/>
  <c r="I11" i="1"/>
  <c r="I59" i="1"/>
  <c r="I107" i="1"/>
  <c r="I155" i="1"/>
  <c r="I203" i="1"/>
  <c r="I251" i="1"/>
  <c r="I51" i="1"/>
  <c r="I99" i="1"/>
  <c r="I147" i="1"/>
  <c r="I195" i="1"/>
  <c r="I243" i="1"/>
  <c r="I27" i="1"/>
  <c r="I83" i="1"/>
  <c r="I131" i="1"/>
  <c r="I179" i="1"/>
  <c r="I219" i="1"/>
  <c r="I68" i="1"/>
  <c r="I132" i="1"/>
  <c r="I196" i="1"/>
  <c r="I146" i="1"/>
  <c r="I61" i="1"/>
  <c r="I125" i="1"/>
  <c r="I189" i="1"/>
  <c r="I253" i="1"/>
  <c r="I46" i="1"/>
  <c r="I110" i="1"/>
  <c r="I174" i="1"/>
  <c r="I238" i="1"/>
  <c r="I210" i="1"/>
  <c r="I63" i="1"/>
  <c r="I127" i="1"/>
  <c r="I191" i="1"/>
  <c r="I5" i="1"/>
  <c r="I8" i="1"/>
  <c r="I72" i="1"/>
  <c r="I136" i="1"/>
  <c r="I200" i="1"/>
  <c r="I10" i="1"/>
  <c r="I9" i="1"/>
  <c r="I73" i="1"/>
  <c r="I137" i="1"/>
  <c r="I201" i="1"/>
  <c r="I26" i="1"/>
  <c r="I25" i="1"/>
  <c r="I98" i="1"/>
  <c r="I92" i="1"/>
  <c r="I156" i="1"/>
  <c r="I220" i="1"/>
  <c r="I21" i="1"/>
  <c r="I85" i="1"/>
  <c r="I149" i="1"/>
  <c r="I213" i="1"/>
  <c r="I6" i="1"/>
  <c r="I70" i="1"/>
  <c r="I134" i="1"/>
  <c r="I198" i="1"/>
  <c r="I34" i="1"/>
  <c r="I23" i="1"/>
  <c r="I87" i="1"/>
  <c r="I151" i="1"/>
  <c r="I215" i="1"/>
  <c r="I82" i="1"/>
  <c r="I32" i="1"/>
  <c r="I96" i="1"/>
  <c r="I160" i="1"/>
  <c r="I224" i="1"/>
  <c r="I106" i="1"/>
  <c r="I33" i="1"/>
  <c r="I97" i="1"/>
  <c r="I161" i="1"/>
  <c r="I225" i="1"/>
  <c r="I138" i="1"/>
  <c r="I74" i="1"/>
  <c r="I89" i="1"/>
  <c r="I28" i="1"/>
  <c r="I36" i="1"/>
  <c r="I100" i="1"/>
  <c r="I164" i="1"/>
  <c r="I228" i="1"/>
  <c r="I29" i="1"/>
  <c r="I93" i="1"/>
  <c r="I157" i="1"/>
  <c r="I221" i="1"/>
  <c r="I14" i="1"/>
  <c r="I78" i="1"/>
  <c r="I142" i="1"/>
  <c r="I206" i="1"/>
  <c r="I58" i="1"/>
  <c r="I31" i="1"/>
  <c r="I95" i="1"/>
  <c r="I159" i="1"/>
  <c r="I223" i="1"/>
  <c r="I114" i="1"/>
  <c r="I40" i="1"/>
  <c r="I104" i="1"/>
  <c r="I168" i="1"/>
  <c r="I232" i="1"/>
  <c r="I122" i="1"/>
  <c r="I41" i="1"/>
  <c r="I105" i="1"/>
  <c r="I169" i="1"/>
  <c r="I233" i="1"/>
  <c r="I186" i="1"/>
  <c r="I217" i="1"/>
  <c r="I44" i="1"/>
  <c r="I108" i="1"/>
  <c r="I172" i="1"/>
  <c r="I236" i="1"/>
  <c r="I37" i="1"/>
  <c r="I101" i="1"/>
  <c r="I165" i="1"/>
  <c r="I229" i="1"/>
  <c r="I22" i="1"/>
  <c r="I86" i="1"/>
  <c r="I150" i="1"/>
  <c r="I214" i="1"/>
  <c r="I90" i="1"/>
  <c r="I39" i="1"/>
  <c r="I103" i="1"/>
  <c r="I167" i="1"/>
  <c r="I231" i="1"/>
  <c r="I154" i="1"/>
  <c r="I48" i="1"/>
  <c r="I112" i="1"/>
  <c r="I176" i="1"/>
  <c r="I240" i="1"/>
  <c r="I162" i="1"/>
  <c r="I49" i="1"/>
  <c r="I113" i="1"/>
  <c r="I177" i="1"/>
  <c r="I241" i="1"/>
  <c r="I218" i="1"/>
  <c r="I153" i="1"/>
  <c r="I52" i="1"/>
  <c r="I116" i="1"/>
  <c r="I180" i="1"/>
  <c r="I244" i="1"/>
  <c r="I45" i="1"/>
  <c r="I109" i="1"/>
  <c r="I173" i="1"/>
  <c r="I237" i="1"/>
  <c r="I30" i="1"/>
  <c r="I94" i="1"/>
  <c r="I158" i="1"/>
  <c r="I222" i="1"/>
  <c r="I130" i="1"/>
  <c r="I47" i="1"/>
  <c r="I111" i="1"/>
  <c r="I175" i="1"/>
  <c r="I239" i="1"/>
  <c r="I56" i="1"/>
  <c r="I120" i="1"/>
  <c r="I184" i="1"/>
  <c r="I248" i="1"/>
  <c r="I202" i="1"/>
  <c r="I121" i="1"/>
  <c r="I185" i="1"/>
  <c r="I249" i="1"/>
  <c r="I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Ruben Núñez Sánchez</author>
  </authors>
  <commentList>
    <comment ref="M1" authorId="0" shapeId="0" xr:uid="{84432072-1B25-9F41-9323-9973F6AB9FA7}">
      <text>
        <r>
          <rPr>
            <b/>
            <sz val="10"/>
            <color rgb="FF000000"/>
            <rFont val="Tahoma"/>
            <family val="2"/>
          </rPr>
          <t>Ruben Núñez Sánchez:</t>
        </r>
        <r>
          <rPr>
            <sz val="10"/>
            <color rgb="FF000000"/>
            <rFont val="Tahoma"/>
            <family val="2"/>
          </rPr>
          <t xml:space="preserve">
</t>
        </r>
        <r>
          <rPr>
            <sz val="10"/>
            <color rgb="FF000000"/>
            <rFont val="Tahoma"/>
            <family val="2"/>
          </rPr>
          <t>La señal es una MMS(9)</t>
        </r>
      </text>
    </comment>
  </commentList>
</comments>
</file>

<file path=xl/sharedStrings.xml><?xml version="1.0" encoding="utf-8"?>
<sst xmlns="http://schemas.openxmlformats.org/spreadsheetml/2006/main" count="80" uniqueCount="58">
  <si>
    <t>Date</t>
  </si>
  <si>
    <t>Open</t>
  </si>
  <si>
    <t>High</t>
  </si>
  <si>
    <t>Low</t>
  </si>
  <si>
    <t>Close</t>
  </si>
  <si>
    <t>MMS(30)</t>
  </si>
  <si>
    <t>3,5</t>
  </si>
  <si>
    <t>5,20</t>
  </si>
  <si>
    <t>20,40</t>
  </si>
  <si>
    <t>50,90</t>
  </si>
  <si>
    <t>MMPAtrás(4)</t>
  </si>
  <si>
    <t>Ponderadores atrás</t>
  </si>
  <si>
    <t>Ponderadores adelante</t>
  </si>
  <si>
    <t>MMPAdelante(4)</t>
  </si>
  <si>
    <t>MMS(4)</t>
  </si>
  <si>
    <t>MME(4)</t>
  </si>
  <si>
    <t>K</t>
  </si>
  <si>
    <t>El gráfico de señales se hace con el mismo tipo de media</t>
  </si>
  <si>
    <t>BIMBOA.MX</t>
  </si>
  <si>
    <t>Medias móviles simples</t>
  </si>
  <si>
    <t>Medias móviles ponderadas adelante</t>
  </si>
  <si>
    <t>Medias móviles ponderadas atrás</t>
  </si>
  <si>
    <t>Medias móviles exponenciales</t>
  </si>
  <si>
    <t>Numero de observaciones disponibles 253</t>
  </si>
  <si>
    <t>MMS(5)</t>
  </si>
  <si>
    <t>MMS(20)</t>
  </si>
  <si>
    <t>MMS Adelante (5)</t>
  </si>
  <si>
    <t>MMS Atras (5)</t>
  </si>
  <si>
    <t>Velas Sakata</t>
  </si>
  <si>
    <t>MACD</t>
  </si>
  <si>
    <t>MME(26)_MACD</t>
  </si>
  <si>
    <t>MME(12)</t>
  </si>
  <si>
    <t>SIGNAL</t>
  </si>
  <si>
    <t xml:space="preserve"> </t>
  </si>
  <si>
    <t>Banda Superior</t>
  </si>
  <si>
    <t>Banda Inferior</t>
  </si>
  <si>
    <t>MEDIAS MÓVILES SIMPLES</t>
  </si>
  <si>
    <t>MEDIAS MÓVILES PONDERADAS ADELANTE</t>
  </si>
  <si>
    <t>MEDIAS MÓVILES PONDERADAS ATRÁS</t>
  </si>
  <si>
    <t>MEDIAS MÓVILES EXPONENCIALES</t>
  </si>
  <si>
    <t>VELAS SAKATA</t>
  </si>
  <si>
    <t>BANDAS BOLLINGER</t>
  </si>
  <si>
    <t>MOVING AVERAGE CONVERGENCE AND DIVERGENCE (MACD)</t>
  </si>
  <si>
    <t>ID</t>
  </si>
  <si>
    <t>TIPO</t>
  </si>
  <si>
    <t>DESCRIPCIÓN</t>
  </si>
  <si>
    <r>
      <rPr>
        <b/>
        <sz val="11"/>
        <color theme="1"/>
        <rFont val="Calibri"/>
        <family val="2"/>
        <scheme val="minor"/>
      </rPr>
      <t>Descripción:</t>
    </r>
    <r>
      <rPr>
        <sz val="11"/>
        <color theme="1"/>
        <rFont val="Calibri"/>
        <family val="2"/>
        <scheme val="minor"/>
      </rPr>
      <t xml:space="preserve"> Para el método MACD nos apoyamos de la diferencia entre dos medias móviles exponenciales de tamaño 12 y 26 y de una señal que será representada por una MMS(9) respecto al MACD.
Es un indicador que ayuda a determinar la tendencia del precio del activo y si el precio está estancado, sobrevalorado o infravalorado</t>
    </r>
  </si>
  <si>
    <r>
      <rPr>
        <b/>
        <sz val="11"/>
        <color theme="1"/>
        <rFont val="Calibri"/>
        <family val="2"/>
        <scheme val="minor"/>
      </rPr>
      <t>Descripción:</t>
    </r>
    <r>
      <rPr>
        <sz val="11"/>
        <color theme="1"/>
        <rFont val="Calibri"/>
        <family val="2"/>
        <scheme val="minor"/>
      </rPr>
      <t xml:space="preserve"> Este método de suavización es ideal cuando no conocemos o no hay tendencia ni periodicidad en nuestra serie de tiempo. Su principal función es generar pronósticos y se ajusta mejor a la serie de precios, esta al igual que la MMS_Ad le da mayor importancia a los datos más recientes.</t>
    </r>
  </si>
  <si>
    <r>
      <rPr>
        <b/>
        <sz val="11"/>
        <color theme="1"/>
        <rFont val="Calibri"/>
        <family val="2"/>
        <scheme val="minor"/>
      </rPr>
      <t>Descripción:</t>
    </r>
    <r>
      <rPr>
        <sz val="11"/>
        <color theme="1"/>
        <rFont val="Calibri"/>
        <family val="2"/>
        <scheme val="minor"/>
      </rPr>
      <t xml:space="preserve"> Derivado del cálculo por medio de medias móviles simples, esta variación le asigna mayor importancia a los precios actuales del activo de interés.</t>
    </r>
  </si>
  <si>
    <r>
      <rPr>
        <b/>
        <sz val="11"/>
        <color theme="1"/>
        <rFont val="Calibri"/>
        <family val="2"/>
        <scheme val="minor"/>
      </rPr>
      <t>Descripción:</t>
    </r>
    <r>
      <rPr>
        <sz val="11"/>
        <color theme="1"/>
        <rFont val="Calibri"/>
        <family val="2"/>
        <scheme val="minor"/>
      </rPr>
      <t xml:space="preserve"> Derivado del cálculo por medio de medias móviles simples, esta variación le asigna mayor importancia a los precios antigüos del activo de interés.</t>
    </r>
  </si>
  <si>
    <r>
      <rPr>
        <b/>
        <sz val="11"/>
        <color theme="1"/>
        <rFont val="Calibri"/>
        <family val="2"/>
        <scheme val="minor"/>
      </rPr>
      <t>Descripción:</t>
    </r>
    <r>
      <rPr>
        <sz val="11"/>
        <color theme="1"/>
        <rFont val="Calibri"/>
        <family val="2"/>
        <scheme val="minor"/>
      </rPr>
      <t xml:space="preserve"> Este método se fundamenta de la teoría de la estadística, al ser una aplicación de una medida de tendencia central llamada media. Su principal propósito es disminuir la variabilidad de los datos para quedarte con la tendencia.
Para este análisis encontramos dos variantes principales:
</t>
    </r>
    <r>
      <rPr>
        <b/>
        <sz val="11"/>
        <color theme="1"/>
        <rFont val="Calibri"/>
        <family val="2"/>
        <scheme val="minor"/>
      </rPr>
      <t xml:space="preserve">Media Móvil Corta: </t>
    </r>
    <r>
      <rPr>
        <sz val="11"/>
        <color theme="1"/>
        <rFont val="Calibri"/>
        <family val="2"/>
        <scheme val="minor"/>
      </rPr>
      <t xml:space="preserve">Nos muestra la afinidad sobre el comportamiento de los precios. Lo que caracteriza a esta primer variante es la propensión a los cambios que tienen los precios en un corto horizonte de tiempo
</t>
    </r>
    <r>
      <rPr>
        <b/>
        <sz val="11"/>
        <color theme="1"/>
        <rFont val="Calibri"/>
        <family val="2"/>
        <scheme val="minor"/>
      </rPr>
      <t>Media Móvil Larga:</t>
    </r>
    <r>
      <rPr>
        <sz val="11"/>
        <color theme="1"/>
        <rFont val="Calibri"/>
        <family val="2"/>
        <scheme val="minor"/>
      </rPr>
      <t xml:space="preserve"> En contraste, esta medida muestra la afinidad de los precios a horizontes medianos y largos de tiempo, es un buen indicador para conocer el comportamiento global del activo de interés</t>
    </r>
  </si>
  <si>
    <r>
      <rPr>
        <b/>
        <sz val="11"/>
        <color theme="1"/>
        <rFont val="Calibri"/>
        <family val="2"/>
        <scheme val="minor"/>
      </rPr>
      <t>Descripción:</t>
    </r>
    <r>
      <rPr>
        <sz val="11"/>
        <color theme="1"/>
        <rFont val="Calibri"/>
        <family val="2"/>
        <scheme val="minor"/>
      </rPr>
      <t xml:space="preserve"> Las gráficas de velas (Candlestick charts) son un tipo de gráfico financiero utilizado para representar los movimientos de precios de un activo en el tiempo. El propósito de las gráficas de velas es proporcionar una representación visual de la acción del precio. Cada vela en un gráfico representa un período de tiempo específico, como un día o una hora, y está compuesta por cuatro partes:
Precio de apertura
Precio de cierre
Precio más alto
Precio más bajo
El cuerpo de la vela representa los precios de apertura y cierre, mientras que las sombras o mechas en la parte superior e inferior representan los precios más altos y más bajos.</t>
    </r>
  </si>
  <si>
    <r>
      <rPr>
        <b/>
        <sz val="11"/>
        <color theme="1"/>
        <rFont val="Calibri"/>
        <family val="2"/>
        <scheme val="minor"/>
      </rPr>
      <t>Descripción:</t>
    </r>
    <r>
      <rPr>
        <sz val="11"/>
        <color theme="1"/>
        <rFont val="Calibri"/>
        <family val="2"/>
        <scheme val="minor"/>
      </rPr>
      <t xml:space="preserve"> Este método es una sofisticación del análisis por </t>
    </r>
    <r>
      <rPr>
        <b/>
        <sz val="11"/>
        <color theme="1"/>
        <rFont val="Calibri"/>
        <family val="2"/>
        <scheme val="minor"/>
      </rPr>
      <t>Media Móvil Simple Larga</t>
    </r>
    <r>
      <rPr>
        <sz val="11"/>
        <color theme="1"/>
        <rFont val="Calibri"/>
        <family val="2"/>
        <scheme val="minor"/>
      </rPr>
      <t>.
Toma un horizonte de tiempo de tamaño 20, el cual nos permite tener un mejor entendimiento de la tendencia de la serie de precios y adicionalmente, el método cuenta con la consideración de un rango para la dispersión de los precios dado por dos veces la desviación estándar.</t>
    </r>
  </si>
  <si>
    <t>SELECCIONA TU MÉTODO DE ANÁLISIS</t>
  </si>
  <si>
    <t>REGISTROS DISPONIBLES:</t>
  </si>
  <si>
    <t>FECHA INICIAL:</t>
  </si>
  <si>
    <t>FECHA FINAL:</t>
  </si>
  <si>
    <t>Equipo 03: Ruben Núñez Sánchez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</si>
</sst>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0"/>
      <color rgb="FF000000"/>
      <name val="Tahoma"/>
      <family val="2"/>
    </font>
    <font>
      <b/>
      <sz val="10"/>
      <color rgb="FF000000"/>
      <name val="Tahoma"/>
      <family val="2"/>
    </font>
    <font>
      <u/>
      <sz val="11"/>
      <color theme="10"/>
      <name val="Calibri"/>
      <family val="2"/>
      <scheme val="minor"/>
    </font>
    <font>
      <sz val="14"/>
      <color theme="0"/>
      <name val="Calibri"/>
      <family val="2"/>
      <scheme val="minor"/>
    </font>
    <font>
      <sz val="12"/>
      <color theme="2"/>
      <name val="Calibri"/>
      <family val="2"/>
      <scheme val="minor"/>
    </font>
    <font>
      <sz val="11"/>
      <color theme="0" tint="-0.14999847407452621"/>
      <name val="Calibri"/>
      <family val="2"/>
      <scheme val="minor"/>
    </font>
    <font>
      <sz val="14"/>
      <color theme="1"/>
      <name val="Calibri"/>
      <family val="2"/>
      <scheme val="minor"/>
    </font>
    <font>
      <sz val="12"/>
      <color theme="2" tint="-0.749992370372631"/>
      <name val="Calibri"/>
      <family val="2"/>
      <scheme val="minor"/>
    </font>
    <font>
      <sz val="11"/>
      <color theme="1" tint="0.249977111117893"/>
      <name val="Calibri"/>
      <family val="2"/>
      <scheme val="minor"/>
    </font>
    <font>
      <sz val="16"/>
      <color theme="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rgb="FFF8D1CD"/>
        <bgColor indexed="64"/>
      </patternFill>
    </fill>
    <fill>
      <patternFill patternType="solid">
        <fgColor rgb="FFF7D1CD"/>
        <bgColor indexed="64"/>
      </patternFill>
    </fill>
    <fill>
      <patternFill patternType="solid">
        <fgColor rgb="FF3C464F"/>
        <bgColor indexed="64"/>
      </patternFill>
    </fill>
    <fill>
      <patternFill patternType="solid">
        <fgColor rgb="FF445363"/>
        <bgColor indexed="64"/>
      </patternFill>
    </fill>
    <fill>
      <patternFill patternType="solid">
        <fgColor theme="0"/>
        <bgColor indexed="64"/>
      </patternFill>
    </fill>
    <fill>
      <patternFill patternType="solid">
        <fgColor rgb="FF01B1A3"/>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3" tint="-0.499984740745262"/>
      </left>
      <right/>
      <top style="thick">
        <color theme="3" tint="-0.499984740745262"/>
      </top>
      <bottom/>
      <diagonal/>
    </border>
    <border>
      <left/>
      <right/>
      <top style="thick">
        <color theme="3" tint="-0.499984740745262"/>
      </top>
      <bottom/>
      <diagonal/>
    </border>
    <border>
      <left/>
      <right style="thick">
        <color theme="3" tint="-0.499984740745262"/>
      </right>
      <top style="thick">
        <color theme="3" tint="-0.499984740745262"/>
      </top>
      <bottom/>
      <diagonal/>
    </border>
    <border>
      <left style="thick">
        <color theme="3" tint="-0.499984740745262"/>
      </left>
      <right/>
      <top/>
      <bottom/>
      <diagonal/>
    </border>
    <border>
      <left/>
      <right style="thick">
        <color theme="3" tint="-0.499984740745262"/>
      </right>
      <top/>
      <bottom/>
      <diagonal/>
    </border>
    <border>
      <left style="thick">
        <color theme="3" tint="-0.499984740745262"/>
      </left>
      <right/>
      <top/>
      <bottom style="thick">
        <color theme="3" tint="-0.499984740745262"/>
      </bottom>
      <diagonal/>
    </border>
    <border>
      <left/>
      <right/>
      <top/>
      <bottom style="thick">
        <color theme="3" tint="-0.499984740745262"/>
      </bottom>
      <diagonal/>
    </border>
    <border>
      <left/>
      <right style="thick">
        <color theme="3" tint="-0.499984740745262"/>
      </right>
      <top/>
      <bottom style="thick">
        <color theme="3" tint="-0.499984740745262"/>
      </bottom>
      <diagonal/>
    </border>
    <border>
      <left/>
      <right style="medium">
        <color theme="3" tint="-0.499984740745262"/>
      </right>
      <top/>
      <bottom style="medium">
        <color theme="3" tint="-0.499984740745262"/>
      </bottom>
      <diagonal/>
    </border>
    <border>
      <left/>
      <right style="medium">
        <color theme="3" tint="-0.499984740745262"/>
      </right>
      <top/>
      <bottom/>
      <diagonal/>
    </border>
    <border>
      <left/>
      <right/>
      <top/>
      <bottom style="medium">
        <color theme="3" tint="-0.499984740745262"/>
      </bottom>
      <diagonal/>
    </border>
    <border>
      <left/>
      <right style="thin">
        <color theme="3" tint="-0.499984740745262"/>
      </right>
      <top/>
      <bottom style="thin">
        <color theme="3" tint="-0.499984740745262"/>
      </bottom>
      <diagonal/>
    </border>
    <border>
      <left/>
      <right style="thin">
        <color theme="3" tint="-0.499984740745262"/>
      </right>
      <top/>
      <bottom/>
      <diagonal/>
    </border>
    <border>
      <left/>
      <right/>
      <top/>
      <bottom style="thin">
        <color theme="3" tint="-0.499984740745262"/>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49">
    <xf numFmtId="0" fontId="0" fillId="0" borderId="0" xfId="0"/>
    <xf numFmtId="14" fontId="0" fillId="0" borderId="0" xfId="0" applyNumberFormat="1"/>
    <xf numFmtId="3" fontId="0" fillId="0" borderId="0" xfId="0" applyNumberFormat="1"/>
    <xf numFmtId="0" fontId="0" fillId="33" borderId="0" xfId="0" applyFill="1"/>
    <xf numFmtId="0" fontId="0" fillId="34" borderId="0" xfId="0" applyFill="1"/>
    <xf numFmtId="0" fontId="0" fillId="35" borderId="0" xfId="0" applyFill="1"/>
    <xf numFmtId="0" fontId="0" fillId="36" borderId="0" xfId="0" applyFill="1"/>
    <xf numFmtId="14" fontId="0" fillId="34" borderId="0" xfId="0" applyNumberFormat="1" applyFill="1"/>
    <xf numFmtId="0" fontId="0" fillId="38" borderId="0" xfId="0" applyFill="1"/>
    <xf numFmtId="0" fontId="0" fillId="34" borderId="0" xfId="0" applyFill="1" applyAlignment="1">
      <alignment horizontal="center"/>
    </xf>
    <xf numFmtId="0" fontId="0" fillId="36" borderId="0" xfId="0" applyFill="1" applyAlignment="1">
      <alignment horizontal="center"/>
    </xf>
    <xf numFmtId="0" fontId="0" fillId="33" borderId="0" xfId="0" applyFill="1" applyAlignment="1">
      <alignment horizontal="center"/>
    </xf>
    <xf numFmtId="0" fontId="0" fillId="0" borderId="0" xfId="0" applyAlignment="1">
      <alignment horizontal="center"/>
    </xf>
    <xf numFmtId="0" fontId="0" fillId="35" borderId="0" xfId="0" applyFill="1" applyAlignment="1">
      <alignment horizontal="center"/>
    </xf>
    <xf numFmtId="0" fontId="0" fillId="37" borderId="0" xfId="0" applyFill="1" applyAlignment="1">
      <alignment horizontal="center"/>
    </xf>
    <xf numFmtId="0" fontId="0" fillId="39" borderId="0" xfId="0" applyFill="1"/>
    <xf numFmtId="0" fontId="0" fillId="39" borderId="13" xfId="0" applyFill="1" applyBorder="1"/>
    <xf numFmtId="0" fontId="0" fillId="39" borderId="14" xfId="0" applyFill="1" applyBorder="1"/>
    <xf numFmtId="0" fontId="0" fillId="39" borderId="15" xfId="0" applyFill="1" applyBorder="1"/>
    <xf numFmtId="0" fontId="0" fillId="39" borderId="16" xfId="0" applyFill="1" applyBorder="1"/>
    <xf numFmtId="0" fontId="0" fillId="39" borderId="17" xfId="0" applyFill="1" applyBorder="1"/>
    <xf numFmtId="0" fontId="0" fillId="39" borderId="0" xfId="0" applyFill="1" applyAlignment="1">
      <alignment vertical="center"/>
    </xf>
    <xf numFmtId="0" fontId="0" fillId="41" borderId="10" xfId="0" applyFill="1" applyBorder="1"/>
    <xf numFmtId="0" fontId="0" fillId="41" borderId="11" xfId="0" applyFill="1" applyBorder="1"/>
    <xf numFmtId="0" fontId="0" fillId="41" borderId="12" xfId="0" applyFill="1" applyBorder="1"/>
    <xf numFmtId="0" fontId="0" fillId="41" borderId="13" xfId="0" applyFill="1" applyBorder="1"/>
    <xf numFmtId="0" fontId="0" fillId="41" borderId="0" xfId="0" applyFill="1"/>
    <xf numFmtId="0" fontId="0" fillId="41" borderId="14" xfId="0" applyFill="1" applyBorder="1"/>
    <xf numFmtId="0" fontId="0" fillId="41" borderId="0" xfId="0" applyFill="1" applyAlignment="1">
      <alignment vertical="center"/>
    </xf>
    <xf numFmtId="0" fontId="25" fillId="41" borderId="0" xfId="0" applyFont="1" applyFill="1" applyAlignment="1">
      <alignment vertical="center"/>
    </xf>
    <xf numFmtId="164" fontId="0" fillId="41" borderId="0" xfId="0" applyNumberFormat="1" applyFill="1" applyAlignment="1">
      <alignment horizontal="center"/>
    </xf>
    <xf numFmtId="0" fontId="26" fillId="0" borderId="0" xfId="0" applyFont="1" applyAlignment="1">
      <alignment horizontal="left" vertical="center" wrapText="1"/>
    </xf>
    <xf numFmtId="0" fontId="28" fillId="41" borderId="0" xfId="0" applyFont="1" applyFill="1" applyAlignment="1">
      <alignment horizontal="center" vertical="center"/>
    </xf>
    <xf numFmtId="0" fontId="27" fillId="41" borderId="0" xfId="0" applyFont="1" applyFill="1" applyAlignment="1">
      <alignment horizontal="center" vertical="top"/>
    </xf>
    <xf numFmtId="0" fontId="0" fillId="41" borderId="0" xfId="0" applyFill="1" applyAlignment="1">
      <alignment horizontal="center"/>
    </xf>
    <xf numFmtId="0" fontId="22" fillId="42" borderId="0" xfId="0" applyFont="1" applyFill="1" applyAlignment="1">
      <alignment horizontal="center" vertical="center"/>
    </xf>
    <xf numFmtId="0" fontId="22" fillId="42" borderId="19" xfId="0" applyFont="1" applyFill="1" applyBorder="1" applyAlignment="1">
      <alignment horizontal="center" vertical="center"/>
    </xf>
    <xf numFmtId="0" fontId="22" fillId="42" borderId="20" xfId="0" applyFont="1" applyFill="1" applyBorder="1" applyAlignment="1">
      <alignment horizontal="center" vertical="center"/>
    </xf>
    <xf numFmtId="0" fontId="22" fillId="42" borderId="18" xfId="0" applyFont="1" applyFill="1" applyBorder="1" applyAlignment="1">
      <alignment horizontal="center" vertical="center"/>
    </xf>
    <xf numFmtId="0" fontId="23" fillId="40" borderId="0" xfId="0" applyFont="1" applyFill="1" applyAlignment="1">
      <alignment horizontal="center" vertical="center" wrapText="1"/>
    </xf>
    <xf numFmtId="0" fontId="23" fillId="40" borderId="22" xfId="0" applyFont="1" applyFill="1" applyBorder="1" applyAlignment="1">
      <alignment horizontal="center" vertical="center" wrapText="1"/>
    </xf>
    <xf numFmtId="0" fontId="23" fillId="40" borderId="23" xfId="0" applyFont="1" applyFill="1" applyBorder="1" applyAlignment="1">
      <alignment horizontal="center" vertical="center" wrapText="1"/>
    </xf>
    <xf numFmtId="0" fontId="23" fillId="40" borderId="21" xfId="0" applyFont="1" applyFill="1" applyBorder="1" applyAlignment="1">
      <alignment horizontal="center" vertical="center" wrapText="1"/>
    </xf>
    <xf numFmtId="0" fontId="17" fillId="39" borderId="0" xfId="0" applyFont="1" applyFill="1" applyAlignment="1">
      <alignment horizontal="center"/>
    </xf>
    <xf numFmtId="0" fontId="21" fillId="39" borderId="0" xfId="42" applyFill="1" applyAlignment="1">
      <alignment horizontal="center"/>
    </xf>
    <xf numFmtId="0" fontId="24" fillId="39" borderId="0" xfId="0" applyFont="1" applyFill="1" applyAlignment="1">
      <alignment horizontal="center"/>
    </xf>
    <xf numFmtId="0" fontId="24" fillId="39" borderId="0" xfId="0" applyFont="1" applyFill="1" applyAlignment="1">
      <alignment horizontal="center" vertical="top"/>
    </xf>
    <xf numFmtId="164" fontId="17" fillId="39" borderId="0" xfId="0" applyNumberFormat="1" applyFont="1" applyFill="1" applyAlignment="1">
      <alignment horizontal="center"/>
    </xf>
    <xf numFmtId="0" fontId="0" fillId="0" borderId="0" xfId="0" applyAlignment="1">
      <alignment horizont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01B1A3"/>
      <color rgb="FF3FD5C5"/>
      <color rgb="FF445363"/>
      <color rgb="FF3C464F"/>
      <color rgb="FF859AA5"/>
      <color rgb="FF3599BA"/>
      <color rgb="FF00FDFF"/>
      <color rgb="FF73FEFF"/>
      <color rgb="FFDB8E32"/>
      <color rgb="FFF7D1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Señales: MACD</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MX"/>
        </a:p>
      </c:txPr>
    </c:title>
    <c:autoTitleDeleted val="0"/>
    <c:plotArea>
      <c:layout/>
      <c:lineChart>
        <c:grouping val="standard"/>
        <c:varyColors val="0"/>
        <c:ser>
          <c:idx val="0"/>
          <c:order val="0"/>
          <c:tx>
            <c:v>Close</c:v>
          </c:tx>
          <c:spPr>
            <a:ln w="38100" cap="rnd">
              <a:solidFill>
                <a:schemeClr val="accent1"/>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Datos!$E$21:$E$203</c:f>
              <c:numCache>
                <c:formatCode>General</c:formatCode>
                <c:ptCount val="183"/>
                <c:pt idx="0">
                  <c:v>59.220001000000003</c:v>
                </c:pt>
                <c:pt idx="1">
                  <c:v>60.599997999999999</c:v>
                </c:pt>
                <c:pt idx="2">
                  <c:v>60.119999</c:v>
                </c:pt>
                <c:pt idx="3">
                  <c:v>60.060001</c:v>
                </c:pt>
                <c:pt idx="4">
                  <c:v>62.98</c:v>
                </c:pt>
                <c:pt idx="5">
                  <c:v>64.319999999999993</c:v>
                </c:pt>
                <c:pt idx="6">
                  <c:v>62.5</c:v>
                </c:pt>
                <c:pt idx="7">
                  <c:v>59.509998000000003</c:v>
                </c:pt>
                <c:pt idx="8">
                  <c:v>59.5</c:v>
                </c:pt>
                <c:pt idx="9">
                  <c:v>59.220001000000003</c:v>
                </c:pt>
                <c:pt idx="10">
                  <c:v>58.41</c:v>
                </c:pt>
                <c:pt idx="11">
                  <c:v>56.650002000000001</c:v>
                </c:pt>
                <c:pt idx="12">
                  <c:v>57.779998999999997</c:v>
                </c:pt>
                <c:pt idx="13">
                  <c:v>57.779998999999997</c:v>
                </c:pt>
                <c:pt idx="14">
                  <c:v>59.610000999999997</c:v>
                </c:pt>
                <c:pt idx="15">
                  <c:v>57.610000999999997</c:v>
                </c:pt>
                <c:pt idx="16">
                  <c:v>55.84</c:v>
                </c:pt>
                <c:pt idx="17">
                  <c:v>55.990001999999997</c:v>
                </c:pt>
                <c:pt idx="18">
                  <c:v>56.139999000000003</c:v>
                </c:pt>
                <c:pt idx="19">
                  <c:v>56.189999</c:v>
                </c:pt>
                <c:pt idx="20">
                  <c:v>61.490001999999997</c:v>
                </c:pt>
                <c:pt idx="21">
                  <c:v>62.610000999999997</c:v>
                </c:pt>
                <c:pt idx="22">
                  <c:v>62.900002000000001</c:v>
                </c:pt>
                <c:pt idx="23">
                  <c:v>67.089995999999999</c:v>
                </c:pt>
                <c:pt idx="24">
                  <c:v>62.049999</c:v>
                </c:pt>
                <c:pt idx="25">
                  <c:v>59.290000999999997</c:v>
                </c:pt>
                <c:pt idx="26">
                  <c:v>60.709999000000003</c:v>
                </c:pt>
                <c:pt idx="27">
                  <c:v>61.259998000000003</c:v>
                </c:pt>
                <c:pt idx="28">
                  <c:v>60.330002</c:v>
                </c:pt>
                <c:pt idx="29">
                  <c:v>60.27</c:v>
                </c:pt>
                <c:pt idx="30">
                  <c:v>58.130001</c:v>
                </c:pt>
                <c:pt idx="31">
                  <c:v>59.369999</c:v>
                </c:pt>
                <c:pt idx="32">
                  <c:v>57.91</c:v>
                </c:pt>
                <c:pt idx="33">
                  <c:v>58.43</c:v>
                </c:pt>
                <c:pt idx="34">
                  <c:v>58.970001000000003</c:v>
                </c:pt>
                <c:pt idx="35">
                  <c:v>57.169998</c:v>
                </c:pt>
                <c:pt idx="36">
                  <c:v>56.459999000000003</c:v>
                </c:pt>
                <c:pt idx="37">
                  <c:v>57.77</c:v>
                </c:pt>
                <c:pt idx="38">
                  <c:v>58.52</c:v>
                </c:pt>
                <c:pt idx="39">
                  <c:v>58.099997999999999</c:v>
                </c:pt>
                <c:pt idx="40">
                  <c:v>59.540000999999997</c:v>
                </c:pt>
                <c:pt idx="41">
                  <c:v>61.16</c:v>
                </c:pt>
                <c:pt idx="42">
                  <c:v>61.439999</c:v>
                </c:pt>
                <c:pt idx="43">
                  <c:v>61.09</c:v>
                </c:pt>
                <c:pt idx="44">
                  <c:v>64.720000999999996</c:v>
                </c:pt>
                <c:pt idx="45">
                  <c:v>64.660004000000001</c:v>
                </c:pt>
                <c:pt idx="46">
                  <c:v>62.48</c:v>
                </c:pt>
                <c:pt idx="47">
                  <c:v>62.18</c:v>
                </c:pt>
                <c:pt idx="48">
                  <c:v>63.439999</c:v>
                </c:pt>
                <c:pt idx="49">
                  <c:v>63.57</c:v>
                </c:pt>
                <c:pt idx="50">
                  <c:v>63.220001000000003</c:v>
                </c:pt>
                <c:pt idx="51">
                  <c:v>64.519997000000004</c:v>
                </c:pt>
                <c:pt idx="52">
                  <c:v>61.400002000000001</c:v>
                </c:pt>
                <c:pt idx="53">
                  <c:v>62.290000999999997</c:v>
                </c:pt>
                <c:pt idx="54">
                  <c:v>60.720001000000003</c:v>
                </c:pt>
                <c:pt idx="55">
                  <c:v>62.599997999999999</c:v>
                </c:pt>
                <c:pt idx="56">
                  <c:v>62.630001</c:v>
                </c:pt>
                <c:pt idx="57">
                  <c:v>62.509998000000003</c:v>
                </c:pt>
                <c:pt idx="58">
                  <c:v>64.110000999999997</c:v>
                </c:pt>
                <c:pt idx="59">
                  <c:v>61.700001</c:v>
                </c:pt>
                <c:pt idx="60">
                  <c:v>63.490001999999997</c:v>
                </c:pt>
                <c:pt idx="61">
                  <c:v>63.48</c:v>
                </c:pt>
                <c:pt idx="62">
                  <c:v>63.810001</c:v>
                </c:pt>
                <c:pt idx="63">
                  <c:v>65.959998999999996</c:v>
                </c:pt>
                <c:pt idx="64">
                  <c:v>66</c:v>
                </c:pt>
                <c:pt idx="65">
                  <c:v>65.849997999999999</c:v>
                </c:pt>
                <c:pt idx="66">
                  <c:v>65.370002999999997</c:v>
                </c:pt>
                <c:pt idx="67">
                  <c:v>65.809997999999993</c:v>
                </c:pt>
                <c:pt idx="68">
                  <c:v>69.569999999999993</c:v>
                </c:pt>
                <c:pt idx="69">
                  <c:v>67.180000000000007</c:v>
                </c:pt>
                <c:pt idx="70">
                  <c:v>69.910004000000001</c:v>
                </c:pt>
                <c:pt idx="71">
                  <c:v>69.680000000000007</c:v>
                </c:pt>
                <c:pt idx="72">
                  <c:v>70.599997999999999</c:v>
                </c:pt>
                <c:pt idx="73">
                  <c:v>70.760002</c:v>
                </c:pt>
                <c:pt idx="74">
                  <c:v>68.290001000000004</c:v>
                </c:pt>
                <c:pt idx="75">
                  <c:v>69.050003000000004</c:v>
                </c:pt>
                <c:pt idx="76">
                  <c:v>70.110000999999997</c:v>
                </c:pt>
                <c:pt idx="77">
                  <c:v>72.599997999999999</c:v>
                </c:pt>
                <c:pt idx="78">
                  <c:v>71.5</c:v>
                </c:pt>
                <c:pt idx="79">
                  <c:v>72.069999999999993</c:v>
                </c:pt>
                <c:pt idx="80">
                  <c:v>72.410004000000001</c:v>
                </c:pt>
                <c:pt idx="81">
                  <c:v>73</c:v>
                </c:pt>
                <c:pt idx="82">
                  <c:v>74.440002000000007</c:v>
                </c:pt>
                <c:pt idx="83">
                  <c:v>74.239998</c:v>
                </c:pt>
                <c:pt idx="84">
                  <c:v>74.069999999999993</c:v>
                </c:pt>
                <c:pt idx="85">
                  <c:v>73.069999999999993</c:v>
                </c:pt>
                <c:pt idx="86">
                  <c:v>75.080001999999993</c:v>
                </c:pt>
                <c:pt idx="87">
                  <c:v>72.040001000000004</c:v>
                </c:pt>
                <c:pt idx="88">
                  <c:v>71.150002000000001</c:v>
                </c:pt>
                <c:pt idx="89">
                  <c:v>72.290001000000004</c:v>
                </c:pt>
                <c:pt idx="90">
                  <c:v>71.580001999999993</c:v>
                </c:pt>
                <c:pt idx="91">
                  <c:v>70.849997999999999</c:v>
                </c:pt>
                <c:pt idx="92">
                  <c:v>70.160004000000001</c:v>
                </c:pt>
                <c:pt idx="93">
                  <c:v>73.129997000000003</c:v>
                </c:pt>
                <c:pt idx="94">
                  <c:v>75.540001000000004</c:v>
                </c:pt>
                <c:pt idx="95">
                  <c:v>76.309997999999993</c:v>
                </c:pt>
                <c:pt idx="96">
                  <c:v>76.319999999999993</c:v>
                </c:pt>
                <c:pt idx="97">
                  <c:v>76.690002000000007</c:v>
                </c:pt>
                <c:pt idx="98">
                  <c:v>75.239998</c:v>
                </c:pt>
                <c:pt idx="99">
                  <c:v>74.769997000000004</c:v>
                </c:pt>
                <c:pt idx="100">
                  <c:v>73.940002000000007</c:v>
                </c:pt>
                <c:pt idx="101">
                  <c:v>73.559997999999993</c:v>
                </c:pt>
                <c:pt idx="102">
                  <c:v>73.559997999999993</c:v>
                </c:pt>
                <c:pt idx="103">
                  <c:v>74.519997000000004</c:v>
                </c:pt>
                <c:pt idx="104">
                  <c:v>73.650002000000001</c:v>
                </c:pt>
                <c:pt idx="105">
                  <c:v>73.5</c:v>
                </c:pt>
                <c:pt idx="106">
                  <c:v>73.610000999999997</c:v>
                </c:pt>
                <c:pt idx="107">
                  <c:v>73.400002000000001</c:v>
                </c:pt>
                <c:pt idx="108">
                  <c:v>71.129997000000003</c:v>
                </c:pt>
                <c:pt idx="109">
                  <c:v>69.470000999999996</c:v>
                </c:pt>
                <c:pt idx="110">
                  <c:v>66.220000999999996</c:v>
                </c:pt>
                <c:pt idx="111">
                  <c:v>70.269997000000004</c:v>
                </c:pt>
                <c:pt idx="112">
                  <c:v>71.970000999999996</c:v>
                </c:pt>
                <c:pt idx="113">
                  <c:v>70.480002999999996</c:v>
                </c:pt>
                <c:pt idx="114">
                  <c:v>70.879997000000003</c:v>
                </c:pt>
                <c:pt idx="115">
                  <c:v>71.940002000000007</c:v>
                </c:pt>
                <c:pt idx="116">
                  <c:v>72.120002999999997</c:v>
                </c:pt>
                <c:pt idx="117">
                  <c:v>73.029999000000004</c:v>
                </c:pt>
                <c:pt idx="118">
                  <c:v>73.699996999999996</c:v>
                </c:pt>
                <c:pt idx="119">
                  <c:v>73.029999000000004</c:v>
                </c:pt>
                <c:pt idx="120">
                  <c:v>72.650002000000001</c:v>
                </c:pt>
                <c:pt idx="121">
                  <c:v>73.449996999999996</c:v>
                </c:pt>
                <c:pt idx="122">
                  <c:v>72.919998000000007</c:v>
                </c:pt>
                <c:pt idx="123">
                  <c:v>72.970000999999996</c:v>
                </c:pt>
                <c:pt idx="124">
                  <c:v>73.589995999999999</c:v>
                </c:pt>
                <c:pt idx="125">
                  <c:v>75.180000000000007</c:v>
                </c:pt>
                <c:pt idx="126">
                  <c:v>72.389999000000003</c:v>
                </c:pt>
                <c:pt idx="127">
                  <c:v>71.5</c:v>
                </c:pt>
                <c:pt idx="128">
                  <c:v>73.510002</c:v>
                </c:pt>
                <c:pt idx="129">
                  <c:v>73.5</c:v>
                </c:pt>
                <c:pt idx="130">
                  <c:v>72.739998</c:v>
                </c:pt>
                <c:pt idx="131">
                  <c:v>70.769997000000004</c:v>
                </c:pt>
                <c:pt idx="132">
                  <c:v>71.730002999999996</c:v>
                </c:pt>
                <c:pt idx="133">
                  <c:v>71.680000000000007</c:v>
                </c:pt>
                <c:pt idx="134">
                  <c:v>72.260002</c:v>
                </c:pt>
                <c:pt idx="135">
                  <c:v>71.040001000000004</c:v>
                </c:pt>
                <c:pt idx="136">
                  <c:v>72.889999000000003</c:v>
                </c:pt>
                <c:pt idx="137">
                  <c:v>70.410004000000001</c:v>
                </c:pt>
                <c:pt idx="138">
                  <c:v>72</c:v>
                </c:pt>
                <c:pt idx="139">
                  <c:v>71.190002000000007</c:v>
                </c:pt>
                <c:pt idx="140">
                  <c:v>70.669998000000007</c:v>
                </c:pt>
                <c:pt idx="141">
                  <c:v>70.059997999999993</c:v>
                </c:pt>
                <c:pt idx="142">
                  <c:v>73</c:v>
                </c:pt>
                <c:pt idx="143">
                  <c:v>71.930000000000007</c:v>
                </c:pt>
                <c:pt idx="144">
                  <c:v>70.040001000000004</c:v>
                </c:pt>
                <c:pt idx="145">
                  <c:v>70.5</c:v>
                </c:pt>
                <c:pt idx="146">
                  <c:v>71.800003000000004</c:v>
                </c:pt>
                <c:pt idx="147">
                  <c:v>73.370002999999997</c:v>
                </c:pt>
                <c:pt idx="148">
                  <c:v>75.220000999999996</c:v>
                </c:pt>
                <c:pt idx="149">
                  <c:v>74.599997999999999</c:v>
                </c:pt>
                <c:pt idx="150">
                  <c:v>74.800003000000004</c:v>
                </c:pt>
                <c:pt idx="151">
                  <c:v>76.430000000000007</c:v>
                </c:pt>
                <c:pt idx="152">
                  <c:v>76.809997999999993</c:v>
                </c:pt>
                <c:pt idx="153">
                  <c:v>81.900002000000001</c:v>
                </c:pt>
                <c:pt idx="154">
                  <c:v>79.569999999999993</c:v>
                </c:pt>
                <c:pt idx="155">
                  <c:v>81.069999999999993</c:v>
                </c:pt>
                <c:pt idx="156">
                  <c:v>80.260002</c:v>
                </c:pt>
                <c:pt idx="157">
                  <c:v>81.559997999999993</c:v>
                </c:pt>
                <c:pt idx="158">
                  <c:v>81.569999999999993</c:v>
                </c:pt>
                <c:pt idx="159">
                  <c:v>82.879997000000003</c:v>
                </c:pt>
                <c:pt idx="160">
                  <c:v>83.489998</c:v>
                </c:pt>
                <c:pt idx="161">
                  <c:v>85.730002999999996</c:v>
                </c:pt>
                <c:pt idx="162">
                  <c:v>85.57</c:v>
                </c:pt>
                <c:pt idx="163">
                  <c:v>85.910004000000001</c:v>
                </c:pt>
                <c:pt idx="164">
                  <c:v>85.379997000000003</c:v>
                </c:pt>
                <c:pt idx="165">
                  <c:v>87.5</c:v>
                </c:pt>
                <c:pt idx="166">
                  <c:v>85.580001999999993</c:v>
                </c:pt>
                <c:pt idx="167">
                  <c:v>86.989998</c:v>
                </c:pt>
                <c:pt idx="168">
                  <c:v>87.400002000000001</c:v>
                </c:pt>
                <c:pt idx="169">
                  <c:v>86.489998</c:v>
                </c:pt>
                <c:pt idx="170">
                  <c:v>83.709998999999996</c:v>
                </c:pt>
                <c:pt idx="171">
                  <c:v>82</c:v>
                </c:pt>
                <c:pt idx="172">
                  <c:v>81.870002999999997</c:v>
                </c:pt>
                <c:pt idx="173">
                  <c:v>82.25</c:v>
                </c:pt>
                <c:pt idx="174">
                  <c:v>83.089995999999999</c:v>
                </c:pt>
                <c:pt idx="175">
                  <c:v>83.580001999999993</c:v>
                </c:pt>
                <c:pt idx="176">
                  <c:v>82.050003000000004</c:v>
                </c:pt>
                <c:pt idx="177">
                  <c:v>83.370002999999997</c:v>
                </c:pt>
                <c:pt idx="178">
                  <c:v>85.660004000000001</c:v>
                </c:pt>
                <c:pt idx="179">
                  <c:v>85.790001000000004</c:v>
                </c:pt>
                <c:pt idx="180">
                  <c:v>86.980002999999996</c:v>
                </c:pt>
                <c:pt idx="181">
                  <c:v>86.080001999999993</c:v>
                </c:pt>
                <c:pt idx="182">
                  <c:v>84.419998000000007</c:v>
                </c:pt>
              </c:numCache>
            </c:numRef>
          </c:val>
          <c:smooth val="0"/>
          <c:extLst>
            <c:ext xmlns:c16="http://schemas.microsoft.com/office/drawing/2014/chart" uri="{C3380CC4-5D6E-409C-BE32-E72D297353CC}">
              <c16:uniqueId val="{00000000-1DED-4143-AC8F-5D0EB3D176B4}"/>
            </c:ext>
          </c:extLst>
        </c:ser>
        <c:ser>
          <c:idx val="1"/>
          <c:order val="1"/>
          <c:tx>
            <c:v>MMS(5)</c:v>
          </c:tx>
          <c:spPr>
            <a:ln w="38100" cap="rnd">
              <a:solidFill>
                <a:schemeClr val="accent2"/>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Datos!$F$21:$F$203</c:f>
              <c:numCache>
                <c:formatCode>General</c:formatCode>
                <c:ptCount val="183"/>
                <c:pt idx="0">
                  <c:v>58.402000599999994</c:v>
                </c:pt>
                <c:pt idx="1">
                  <c:v>58.664000000000001</c:v>
                </c:pt>
                <c:pt idx="2">
                  <c:v>59.189999399999998</c:v>
                </c:pt>
                <c:pt idx="3">
                  <c:v>59.655999599999994</c:v>
                </c:pt>
                <c:pt idx="4">
                  <c:v>60.595999800000001</c:v>
                </c:pt>
                <c:pt idx="5">
                  <c:v>61.615999599999995</c:v>
                </c:pt>
                <c:pt idx="6">
                  <c:v>61.996000000000002</c:v>
                </c:pt>
                <c:pt idx="7">
                  <c:v>61.8739998</c:v>
                </c:pt>
                <c:pt idx="8">
                  <c:v>61.761999599999989</c:v>
                </c:pt>
                <c:pt idx="9">
                  <c:v>61.009999800000003</c:v>
                </c:pt>
                <c:pt idx="10">
                  <c:v>59.827999800000001</c:v>
                </c:pt>
                <c:pt idx="11">
                  <c:v>58.658000199999989</c:v>
                </c:pt>
                <c:pt idx="12">
                  <c:v>58.312000400000002</c:v>
                </c:pt>
                <c:pt idx="13">
                  <c:v>57.968000199999992</c:v>
                </c:pt>
                <c:pt idx="14">
                  <c:v>58.046000200000002</c:v>
                </c:pt>
                <c:pt idx="15">
                  <c:v>57.8860004</c:v>
                </c:pt>
                <c:pt idx="16">
                  <c:v>57.724000000000004</c:v>
                </c:pt>
                <c:pt idx="17">
                  <c:v>57.366000599999992</c:v>
                </c:pt>
                <c:pt idx="18">
                  <c:v>57.038000599999997</c:v>
                </c:pt>
                <c:pt idx="19">
                  <c:v>56.354000199999994</c:v>
                </c:pt>
                <c:pt idx="20">
                  <c:v>57.130000400000007</c:v>
                </c:pt>
                <c:pt idx="21">
                  <c:v>58.484000600000002</c:v>
                </c:pt>
                <c:pt idx="22">
                  <c:v>59.866000600000007</c:v>
                </c:pt>
                <c:pt idx="23">
                  <c:v>62.056000000000004</c:v>
                </c:pt>
                <c:pt idx="24">
                  <c:v>63.227999999999994</c:v>
                </c:pt>
                <c:pt idx="25">
                  <c:v>62.787999800000001</c:v>
                </c:pt>
                <c:pt idx="26">
                  <c:v>62.407999400000008</c:v>
                </c:pt>
                <c:pt idx="27">
                  <c:v>62.079998599999996</c:v>
                </c:pt>
                <c:pt idx="28">
                  <c:v>60.727999799999999</c:v>
                </c:pt>
                <c:pt idx="29">
                  <c:v>60.372</c:v>
                </c:pt>
                <c:pt idx="30">
                  <c:v>60.140000000000008</c:v>
                </c:pt>
                <c:pt idx="31">
                  <c:v>59.872</c:v>
                </c:pt>
                <c:pt idx="32">
                  <c:v>59.202000399999996</c:v>
                </c:pt>
                <c:pt idx="33">
                  <c:v>58.822000000000003</c:v>
                </c:pt>
                <c:pt idx="34">
                  <c:v>58.5620002</c:v>
                </c:pt>
                <c:pt idx="35">
                  <c:v>58.369999600000007</c:v>
                </c:pt>
                <c:pt idx="36">
                  <c:v>57.787999599999999</c:v>
                </c:pt>
                <c:pt idx="37">
                  <c:v>57.7599996</c:v>
                </c:pt>
                <c:pt idx="38">
                  <c:v>57.777999600000001</c:v>
                </c:pt>
                <c:pt idx="39">
                  <c:v>57.603999000000002</c:v>
                </c:pt>
                <c:pt idx="40">
                  <c:v>58.077999599999998</c:v>
                </c:pt>
                <c:pt idx="41">
                  <c:v>59.017999799999998</c:v>
                </c:pt>
                <c:pt idx="42">
                  <c:v>59.751999599999998</c:v>
                </c:pt>
                <c:pt idx="43">
                  <c:v>60.265999600000001</c:v>
                </c:pt>
                <c:pt idx="44">
                  <c:v>61.590000199999999</c:v>
                </c:pt>
                <c:pt idx="45">
                  <c:v>62.614000799999999</c:v>
                </c:pt>
                <c:pt idx="46">
                  <c:v>62.878000800000009</c:v>
                </c:pt>
                <c:pt idx="47">
                  <c:v>63.026000999999994</c:v>
                </c:pt>
                <c:pt idx="48">
                  <c:v>63.496000800000004</c:v>
                </c:pt>
                <c:pt idx="49">
                  <c:v>63.266000600000005</c:v>
                </c:pt>
                <c:pt idx="50">
                  <c:v>62.977999999999994</c:v>
                </c:pt>
                <c:pt idx="51">
                  <c:v>63.385999400000003</c:v>
                </c:pt>
                <c:pt idx="52">
                  <c:v>63.229999799999995</c:v>
                </c:pt>
                <c:pt idx="53">
                  <c:v>63.000000200000002</c:v>
                </c:pt>
                <c:pt idx="54">
                  <c:v>62.430000400000004</c:v>
                </c:pt>
                <c:pt idx="55">
                  <c:v>62.305999799999995</c:v>
                </c:pt>
                <c:pt idx="56">
                  <c:v>61.928000599999997</c:v>
                </c:pt>
                <c:pt idx="57">
                  <c:v>62.149999800000003</c:v>
                </c:pt>
                <c:pt idx="58">
                  <c:v>62.513999800000001</c:v>
                </c:pt>
                <c:pt idx="59">
                  <c:v>62.709999799999991</c:v>
                </c:pt>
                <c:pt idx="60">
                  <c:v>62.888000599999998</c:v>
                </c:pt>
                <c:pt idx="61">
                  <c:v>63.058000400000005</c:v>
                </c:pt>
                <c:pt idx="62">
                  <c:v>63.318001000000002</c:v>
                </c:pt>
                <c:pt idx="63">
                  <c:v>63.688000599999995</c:v>
                </c:pt>
                <c:pt idx="64">
                  <c:v>64.548000400000006</c:v>
                </c:pt>
                <c:pt idx="65">
                  <c:v>65.019999600000006</c:v>
                </c:pt>
                <c:pt idx="66">
                  <c:v>65.398000199999998</c:v>
                </c:pt>
                <c:pt idx="67">
                  <c:v>65.797999599999997</c:v>
                </c:pt>
                <c:pt idx="68">
                  <c:v>66.519999799999994</c:v>
                </c:pt>
                <c:pt idx="69">
                  <c:v>66.755999799999998</c:v>
                </c:pt>
                <c:pt idx="70">
                  <c:v>67.56800100000001</c:v>
                </c:pt>
                <c:pt idx="71">
                  <c:v>68.430000400000011</c:v>
                </c:pt>
                <c:pt idx="72">
                  <c:v>69.38800040000001</c:v>
                </c:pt>
                <c:pt idx="73">
                  <c:v>69.6260008</c:v>
                </c:pt>
                <c:pt idx="74">
                  <c:v>69.848001000000011</c:v>
                </c:pt>
                <c:pt idx="75">
                  <c:v>69.676000800000011</c:v>
                </c:pt>
                <c:pt idx="76">
                  <c:v>69.762001000000012</c:v>
                </c:pt>
                <c:pt idx="77">
                  <c:v>70.162001000000004</c:v>
                </c:pt>
                <c:pt idx="78">
                  <c:v>70.310000600000009</c:v>
                </c:pt>
                <c:pt idx="79">
                  <c:v>71.066000399999993</c:v>
                </c:pt>
                <c:pt idx="80">
                  <c:v>71.738000599999992</c:v>
                </c:pt>
                <c:pt idx="81">
                  <c:v>72.316000399999993</c:v>
                </c:pt>
                <c:pt idx="82">
                  <c:v>72.684001199999997</c:v>
                </c:pt>
                <c:pt idx="83">
                  <c:v>73.232000800000009</c:v>
                </c:pt>
                <c:pt idx="84">
                  <c:v>73.6320008</c:v>
                </c:pt>
                <c:pt idx="85">
                  <c:v>73.763999999999996</c:v>
                </c:pt>
                <c:pt idx="86">
                  <c:v>74.180000399999997</c:v>
                </c:pt>
                <c:pt idx="87">
                  <c:v>73.700000200000005</c:v>
                </c:pt>
                <c:pt idx="88">
                  <c:v>73.082000999999991</c:v>
                </c:pt>
                <c:pt idx="89">
                  <c:v>72.726001200000013</c:v>
                </c:pt>
                <c:pt idx="90">
                  <c:v>72.428001599999988</c:v>
                </c:pt>
                <c:pt idx="91">
                  <c:v>71.582000799999989</c:v>
                </c:pt>
                <c:pt idx="92">
                  <c:v>71.206001400000005</c:v>
                </c:pt>
                <c:pt idx="93">
                  <c:v>71.602000399999994</c:v>
                </c:pt>
                <c:pt idx="94">
                  <c:v>72.252000400000014</c:v>
                </c:pt>
                <c:pt idx="95">
                  <c:v>73.197999600000003</c:v>
                </c:pt>
                <c:pt idx="96">
                  <c:v>74.292000000000002</c:v>
                </c:pt>
                <c:pt idx="97">
                  <c:v>75.597999600000009</c:v>
                </c:pt>
                <c:pt idx="98">
                  <c:v>76.019999800000008</c:v>
                </c:pt>
                <c:pt idx="99">
                  <c:v>75.865999000000002</c:v>
                </c:pt>
                <c:pt idx="100">
                  <c:v>75.391999799999994</c:v>
                </c:pt>
                <c:pt idx="101">
                  <c:v>74.839999399999996</c:v>
                </c:pt>
                <c:pt idx="102">
                  <c:v>74.213998599999996</c:v>
                </c:pt>
                <c:pt idx="103">
                  <c:v>74.069998400000003</c:v>
                </c:pt>
                <c:pt idx="104">
                  <c:v>73.845999400000011</c:v>
                </c:pt>
                <c:pt idx="105">
                  <c:v>73.757998999999998</c:v>
                </c:pt>
                <c:pt idx="106">
                  <c:v>73.76799960000001</c:v>
                </c:pt>
                <c:pt idx="107">
                  <c:v>73.736000400000009</c:v>
                </c:pt>
                <c:pt idx="108">
                  <c:v>73.058000399999997</c:v>
                </c:pt>
                <c:pt idx="109">
                  <c:v>72.222000199999997</c:v>
                </c:pt>
                <c:pt idx="110">
                  <c:v>70.76600040000001</c:v>
                </c:pt>
                <c:pt idx="111">
                  <c:v>70.097999600000009</c:v>
                </c:pt>
                <c:pt idx="112">
                  <c:v>69.811999399999991</c:v>
                </c:pt>
                <c:pt idx="113">
                  <c:v>69.682000599999995</c:v>
                </c:pt>
                <c:pt idx="114">
                  <c:v>69.963999799999996</c:v>
                </c:pt>
                <c:pt idx="115">
                  <c:v>71.108000000000004</c:v>
                </c:pt>
                <c:pt idx="116">
                  <c:v>71.478001199999994</c:v>
                </c:pt>
                <c:pt idx="117">
                  <c:v>71.690000800000007</c:v>
                </c:pt>
                <c:pt idx="118">
                  <c:v>72.333999599999999</c:v>
                </c:pt>
                <c:pt idx="119">
                  <c:v>72.763999999999982</c:v>
                </c:pt>
                <c:pt idx="120">
                  <c:v>72.905999999999992</c:v>
                </c:pt>
                <c:pt idx="121">
                  <c:v>73.171998799999997</c:v>
                </c:pt>
                <c:pt idx="122">
                  <c:v>73.149998600000004</c:v>
                </c:pt>
                <c:pt idx="123">
                  <c:v>73.003999399999998</c:v>
                </c:pt>
                <c:pt idx="124">
                  <c:v>73.1159988</c:v>
                </c:pt>
                <c:pt idx="125">
                  <c:v>73.62199840000001</c:v>
                </c:pt>
                <c:pt idx="126">
                  <c:v>73.409998799999997</c:v>
                </c:pt>
                <c:pt idx="127">
                  <c:v>73.125999199999995</c:v>
                </c:pt>
                <c:pt idx="128">
                  <c:v>73.233999399999988</c:v>
                </c:pt>
                <c:pt idx="129">
                  <c:v>73.216000199999996</c:v>
                </c:pt>
                <c:pt idx="130">
                  <c:v>72.727999799999992</c:v>
                </c:pt>
                <c:pt idx="131">
                  <c:v>72.403999400000004</c:v>
                </c:pt>
                <c:pt idx="132">
                  <c:v>72.45</c:v>
                </c:pt>
                <c:pt idx="133">
                  <c:v>72.083999599999999</c:v>
                </c:pt>
                <c:pt idx="134">
                  <c:v>71.835999999999999</c:v>
                </c:pt>
                <c:pt idx="135">
                  <c:v>71.496000600000002</c:v>
                </c:pt>
                <c:pt idx="136">
                  <c:v>71.920000999999999</c:v>
                </c:pt>
                <c:pt idx="137">
                  <c:v>71.656001200000006</c:v>
                </c:pt>
                <c:pt idx="138">
                  <c:v>71.720001199999999</c:v>
                </c:pt>
                <c:pt idx="139">
                  <c:v>71.5060012</c:v>
                </c:pt>
                <c:pt idx="140">
                  <c:v>71.432000600000009</c:v>
                </c:pt>
                <c:pt idx="141">
                  <c:v>70.866000400000004</c:v>
                </c:pt>
                <c:pt idx="142">
                  <c:v>71.38399960000001</c:v>
                </c:pt>
                <c:pt idx="143">
                  <c:v>71.3699996</c:v>
                </c:pt>
                <c:pt idx="144">
                  <c:v>71.139999399999994</c:v>
                </c:pt>
                <c:pt idx="145">
                  <c:v>71.105999800000006</c:v>
                </c:pt>
                <c:pt idx="146">
                  <c:v>71.454000800000003</c:v>
                </c:pt>
                <c:pt idx="147">
                  <c:v>71.528001400000008</c:v>
                </c:pt>
                <c:pt idx="148">
                  <c:v>72.186001600000012</c:v>
                </c:pt>
                <c:pt idx="149">
                  <c:v>73.098000999999996</c:v>
                </c:pt>
                <c:pt idx="150">
                  <c:v>73.958001600000003</c:v>
                </c:pt>
                <c:pt idx="151">
                  <c:v>74.884000999999998</c:v>
                </c:pt>
                <c:pt idx="152">
                  <c:v>75.572000000000003</c:v>
                </c:pt>
                <c:pt idx="153">
                  <c:v>76.908000199999989</c:v>
                </c:pt>
                <c:pt idx="154">
                  <c:v>77.902000600000008</c:v>
                </c:pt>
                <c:pt idx="155">
                  <c:v>79.156000000000006</c:v>
                </c:pt>
                <c:pt idx="156">
                  <c:v>79.922000399999988</c:v>
                </c:pt>
                <c:pt idx="157">
                  <c:v>80.872000400000005</c:v>
                </c:pt>
                <c:pt idx="158">
                  <c:v>80.805999999999997</c:v>
                </c:pt>
                <c:pt idx="159">
                  <c:v>81.467999399999997</c:v>
                </c:pt>
                <c:pt idx="160">
                  <c:v>81.951999000000001</c:v>
                </c:pt>
                <c:pt idx="161">
                  <c:v>83.045999200000011</c:v>
                </c:pt>
                <c:pt idx="162">
                  <c:v>83.847999600000009</c:v>
                </c:pt>
                <c:pt idx="163">
                  <c:v>84.716000400000013</c:v>
                </c:pt>
                <c:pt idx="164">
                  <c:v>85.216000399999999</c:v>
                </c:pt>
                <c:pt idx="165">
                  <c:v>86.01800080000001</c:v>
                </c:pt>
                <c:pt idx="166">
                  <c:v>85.988000599999992</c:v>
                </c:pt>
                <c:pt idx="167">
                  <c:v>86.272000200000008</c:v>
                </c:pt>
                <c:pt idx="168">
                  <c:v>86.569999800000005</c:v>
                </c:pt>
                <c:pt idx="169">
                  <c:v>86.792000000000002</c:v>
                </c:pt>
                <c:pt idx="170">
                  <c:v>86.033999800000004</c:v>
                </c:pt>
                <c:pt idx="171">
                  <c:v>85.317999399999991</c:v>
                </c:pt>
                <c:pt idx="172">
                  <c:v>84.294000399999987</c:v>
                </c:pt>
                <c:pt idx="173">
                  <c:v>83.263999999999996</c:v>
                </c:pt>
                <c:pt idx="174">
                  <c:v>82.583999599999999</c:v>
                </c:pt>
                <c:pt idx="175">
                  <c:v>82.558000199999995</c:v>
                </c:pt>
                <c:pt idx="176">
                  <c:v>82.568000799999993</c:v>
                </c:pt>
                <c:pt idx="177">
                  <c:v>82.86800079999999</c:v>
                </c:pt>
                <c:pt idx="178">
                  <c:v>83.550001600000002</c:v>
                </c:pt>
                <c:pt idx="179">
                  <c:v>84.090002600000005</c:v>
                </c:pt>
                <c:pt idx="180">
                  <c:v>84.770002800000015</c:v>
                </c:pt>
                <c:pt idx="181">
                  <c:v>85.57600260000001</c:v>
                </c:pt>
                <c:pt idx="182">
                  <c:v>85.786001599999992</c:v>
                </c:pt>
              </c:numCache>
            </c:numRef>
          </c:val>
          <c:smooth val="0"/>
          <c:extLst>
            <c:ext xmlns:c16="http://schemas.microsoft.com/office/drawing/2014/chart" uri="{C3380CC4-5D6E-409C-BE32-E72D297353CC}">
              <c16:uniqueId val="{00000001-1DED-4143-AC8F-5D0EB3D176B4}"/>
            </c:ext>
          </c:extLst>
        </c:ser>
        <c:ser>
          <c:idx val="2"/>
          <c:order val="2"/>
          <c:tx>
            <c:v>MMS(20)</c:v>
          </c:tx>
          <c:spPr>
            <a:ln w="38100" cap="rnd">
              <a:solidFill>
                <a:schemeClr val="accent3"/>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Datos!$G$21:$G$203</c:f>
              <c:numCache>
                <c:formatCode>General</c:formatCode>
                <c:ptCount val="183"/>
                <c:pt idx="0">
                  <c:v>58.032000249999996</c:v>
                </c:pt>
                <c:pt idx="1">
                  <c:v>57.908500149999995</c:v>
                </c:pt>
                <c:pt idx="2">
                  <c:v>57.797999999999988</c:v>
                </c:pt>
                <c:pt idx="3">
                  <c:v>57.705999949999999</c:v>
                </c:pt>
                <c:pt idx="4">
                  <c:v>57.894499999999994</c:v>
                </c:pt>
                <c:pt idx="5">
                  <c:v>58.238500049999992</c:v>
                </c:pt>
                <c:pt idx="6">
                  <c:v>58.703499999999998</c:v>
                </c:pt>
                <c:pt idx="7">
                  <c:v>58.968499950000002</c:v>
                </c:pt>
                <c:pt idx="8">
                  <c:v>59.120500000000007</c:v>
                </c:pt>
                <c:pt idx="9">
                  <c:v>59.226500149999993</c:v>
                </c:pt>
                <c:pt idx="10">
                  <c:v>59.314500050000007</c:v>
                </c:pt>
                <c:pt idx="11">
                  <c:v>59.387000100000002</c:v>
                </c:pt>
                <c:pt idx="12">
                  <c:v>59.462500050000003</c:v>
                </c:pt>
                <c:pt idx="13">
                  <c:v>59.407000050000008</c:v>
                </c:pt>
                <c:pt idx="14">
                  <c:v>59.451500050000007</c:v>
                </c:pt>
                <c:pt idx="15">
                  <c:v>59.433000100000001</c:v>
                </c:pt>
                <c:pt idx="16">
                  <c:v>59.260500049999983</c:v>
                </c:pt>
                <c:pt idx="17">
                  <c:v>59.185500049999987</c:v>
                </c:pt>
                <c:pt idx="18">
                  <c:v>59.105999999999995</c:v>
                </c:pt>
                <c:pt idx="19">
                  <c:v>59.0015</c:v>
                </c:pt>
                <c:pt idx="20">
                  <c:v>59.115000049999992</c:v>
                </c:pt>
                <c:pt idx="21">
                  <c:v>59.215500199999994</c:v>
                </c:pt>
                <c:pt idx="22">
                  <c:v>59.354500350000002</c:v>
                </c:pt>
                <c:pt idx="23">
                  <c:v>59.706000099999997</c:v>
                </c:pt>
                <c:pt idx="24">
                  <c:v>59.659500050000005</c:v>
                </c:pt>
                <c:pt idx="25">
                  <c:v>59.408000100000002</c:v>
                </c:pt>
                <c:pt idx="26">
                  <c:v>59.318500049999997</c:v>
                </c:pt>
                <c:pt idx="27">
                  <c:v>59.406000049999989</c:v>
                </c:pt>
                <c:pt idx="28">
                  <c:v>59.447500149999982</c:v>
                </c:pt>
                <c:pt idx="29">
                  <c:v>59.500000100000001</c:v>
                </c:pt>
                <c:pt idx="30">
                  <c:v>59.486000149999995</c:v>
                </c:pt>
                <c:pt idx="31">
                  <c:v>59.622</c:v>
                </c:pt>
                <c:pt idx="32">
                  <c:v>59.62850005</c:v>
                </c:pt>
                <c:pt idx="33">
                  <c:v>59.661000100000003</c:v>
                </c:pt>
                <c:pt idx="34">
                  <c:v>59.629000099999999</c:v>
                </c:pt>
                <c:pt idx="35">
                  <c:v>59.606999950000002</c:v>
                </c:pt>
                <c:pt idx="36">
                  <c:v>59.637999899999997</c:v>
                </c:pt>
                <c:pt idx="37">
                  <c:v>59.726999800000002</c:v>
                </c:pt>
                <c:pt idx="38">
                  <c:v>59.845999849999998</c:v>
                </c:pt>
                <c:pt idx="39">
                  <c:v>59.941499799999988</c:v>
                </c:pt>
                <c:pt idx="40">
                  <c:v>59.843999750000002</c:v>
                </c:pt>
                <c:pt idx="41">
                  <c:v>59.771499700000007</c:v>
                </c:pt>
                <c:pt idx="42">
                  <c:v>59.698499549999994</c:v>
                </c:pt>
                <c:pt idx="43">
                  <c:v>59.398499749999985</c:v>
                </c:pt>
                <c:pt idx="44">
                  <c:v>59.531999849999991</c:v>
                </c:pt>
                <c:pt idx="45">
                  <c:v>59.800499999999985</c:v>
                </c:pt>
                <c:pt idx="46">
                  <c:v>59.889000050000007</c:v>
                </c:pt>
                <c:pt idx="47">
                  <c:v>59.935000150000008</c:v>
                </c:pt>
                <c:pt idx="48">
                  <c:v>60.090499999999999</c:v>
                </c:pt>
                <c:pt idx="49">
                  <c:v>60.255499999999998</c:v>
                </c:pt>
                <c:pt idx="50">
                  <c:v>60.509999999999977</c:v>
                </c:pt>
                <c:pt idx="51">
                  <c:v>60.767499899999983</c:v>
                </c:pt>
                <c:pt idx="52">
                  <c:v>60.941999999999993</c:v>
                </c:pt>
                <c:pt idx="53">
                  <c:v>61.135000050000016</c:v>
                </c:pt>
                <c:pt idx="54">
                  <c:v>61.222500050000008</c:v>
                </c:pt>
                <c:pt idx="55">
                  <c:v>61.49400004999999</c:v>
                </c:pt>
                <c:pt idx="56">
                  <c:v>61.802500149999993</c:v>
                </c:pt>
                <c:pt idx="57">
                  <c:v>62.039500049999994</c:v>
                </c:pt>
                <c:pt idx="58">
                  <c:v>62.319000099999997</c:v>
                </c:pt>
                <c:pt idx="59">
                  <c:v>62.499000250000009</c:v>
                </c:pt>
                <c:pt idx="60">
                  <c:v>62.696500300000004</c:v>
                </c:pt>
                <c:pt idx="61">
                  <c:v>62.812500299999996</c:v>
                </c:pt>
                <c:pt idx="62">
                  <c:v>62.931000400000002</c:v>
                </c:pt>
                <c:pt idx="63">
                  <c:v>63.174500350000002</c:v>
                </c:pt>
                <c:pt idx="64">
                  <c:v>63.238500299999998</c:v>
                </c:pt>
                <c:pt idx="65">
                  <c:v>63.297999999999988</c:v>
                </c:pt>
                <c:pt idx="66">
                  <c:v>63.442500150000001</c:v>
                </c:pt>
                <c:pt idx="67">
                  <c:v>63.624000049999992</c:v>
                </c:pt>
                <c:pt idx="68">
                  <c:v>63.930500100000003</c:v>
                </c:pt>
                <c:pt idx="69">
                  <c:v>64.111000099999998</c:v>
                </c:pt>
                <c:pt idx="70">
                  <c:v>64.445500250000009</c:v>
                </c:pt>
                <c:pt idx="71">
                  <c:v>64.70350040000001</c:v>
                </c:pt>
                <c:pt idx="72">
                  <c:v>65.163500200000001</c:v>
                </c:pt>
                <c:pt idx="73">
                  <c:v>65.587000250000003</c:v>
                </c:pt>
                <c:pt idx="74">
                  <c:v>65.965500250000005</c:v>
                </c:pt>
                <c:pt idx="75">
                  <c:v>66.288000499999995</c:v>
                </c:pt>
                <c:pt idx="76">
                  <c:v>66.662000500000005</c:v>
                </c:pt>
                <c:pt idx="77">
                  <c:v>67.166500500000012</c:v>
                </c:pt>
                <c:pt idx="78">
                  <c:v>67.536000449999989</c:v>
                </c:pt>
                <c:pt idx="79">
                  <c:v>68.054500399999995</c:v>
                </c:pt>
                <c:pt idx="80">
                  <c:v>68.500500500000001</c:v>
                </c:pt>
                <c:pt idx="81">
                  <c:v>68.9765005</c:v>
                </c:pt>
                <c:pt idx="82">
                  <c:v>69.508000549999991</c:v>
                </c:pt>
                <c:pt idx="83">
                  <c:v>69.922000499999996</c:v>
                </c:pt>
                <c:pt idx="84">
                  <c:v>70.325500500000004</c:v>
                </c:pt>
                <c:pt idx="85">
                  <c:v>70.686500600000002</c:v>
                </c:pt>
                <c:pt idx="86">
                  <c:v>71.172000549999979</c:v>
                </c:pt>
                <c:pt idx="87">
                  <c:v>71.483500699999993</c:v>
                </c:pt>
                <c:pt idx="88">
                  <c:v>71.562500799999995</c:v>
                </c:pt>
                <c:pt idx="89">
                  <c:v>71.818000850000004</c:v>
                </c:pt>
                <c:pt idx="90">
                  <c:v>71.901500749999997</c:v>
                </c:pt>
                <c:pt idx="91">
                  <c:v>71.960000650000012</c:v>
                </c:pt>
                <c:pt idx="92">
                  <c:v>71.938000950000003</c:v>
                </c:pt>
                <c:pt idx="93">
                  <c:v>72.056500700000001</c:v>
                </c:pt>
                <c:pt idx="94">
                  <c:v>72.419000699999998</c:v>
                </c:pt>
                <c:pt idx="95">
                  <c:v>72.782000449999984</c:v>
                </c:pt>
                <c:pt idx="96">
                  <c:v>73.092500399999992</c:v>
                </c:pt>
                <c:pt idx="97">
                  <c:v>73.297000600000004</c:v>
                </c:pt>
                <c:pt idx="98">
                  <c:v>73.484000500000008</c:v>
                </c:pt>
                <c:pt idx="99">
                  <c:v>73.619000349999993</c:v>
                </c:pt>
                <c:pt idx="100">
                  <c:v>73.695500249999995</c:v>
                </c:pt>
                <c:pt idx="101">
                  <c:v>73.723500150000007</c:v>
                </c:pt>
                <c:pt idx="102">
                  <c:v>73.679499950000007</c:v>
                </c:pt>
                <c:pt idx="103">
                  <c:v>73.693499900000006</c:v>
                </c:pt>
                <c:pt idx="104">
                  <c:v>73.672500000000014</c:v>
                </c:pt>
                <c:pt idx="105">
                  <c:v>73.694000000000017</c:v>
                </c:pt>
                <c:pt idx="106">
                  <c:v>73.620499949999996</c:v>
                </c:pt>
                <c:pt idx="107">
                  <c:v>73.688500000000019</c:v>
                </c:pt>
                <c:pt idx="108">
                  <c:v>73.687499750000015</c:v>
                </c:pt>
                <c:pt idx="109">
                  <c:v>73.546499750000009</c:v>
                </c:pt>
                <c:pt idx="110">
                  <c:v>73.278499699999998</c:v>
                </c:pt>
                <c:pt idx="111">
                  <c:v>73.24949964999999</c:v>
                </c:pt>
                <c:pt idx="112">
                  <c:v>73.33999949999999</c:v>
                </c:pt>
                <c:pt idx="113">
                  <c:v>73.207499799999979</c:v>
                </c:pt>
                <c:pt idx="114">
                  <c:v>72.974499599999973</c:v>
                </c:pt>
                <c:pt idx="115">
                  <c:v>72.755999799999984</c:v>
                </c:pt>
                <c:pt idx="116">
                  <c:v>72.545999949999995</c:v>
                </c:pt>
                <c:pt idx="117">
                  <c:v>72.362999799999997</c:v>
                </c:pt>
                <c:pt idx="118">
                  <c:v>72.285999750000002</c:v>
                </c:pt>
                <c:pt idx="119">
                  <c:v>72.198999850000021</c:v>
                </c:pt>
                <c:pt idx="120">
                  <c:v>72.134499850000012</c:v>
                </c:pt>
                <c:pt idx="121">
                  <c:v>72.128999800000003</c:v>
                </c:pt>
                <c:pt idx="122">
                  <c:v>72.09699980000002</c:v>
                </c:pt>
                <c:pt idx="123">
                  <c:v>72.019500000000008</c:v>
                </c:pt>
                <c:pt idx="124">
                  <c:v>72.016499700000011</c:v>
                </c:pt>
                <c:pt idx="125">
                  <c:v>72.1004997</c:v>
                </c:pt>
                <c:pt idx="126">
                  <c:v>72.039499599999999</c:v>
                </c:pt>
                <c:pt idx="127">
                  <c:v>71.944499499999992</c:v>
                </c:pt>
                <c:pt idx="128">
                  <c:v>72.063499749999991</c:v>
                </c:pt>
                <c:pt idx="129">
                  <c:v>72.26499969999999</c:v>
                </c:pt>
                <c:pt idx="130">
                  <c:v>72.590999549999992</c:v>
                </c:pt>
                <c:pt idx="131">
                  <c:v>72.615999549999998</c:v>
                </c:pt>
                <c:pt idx="132">
                  <c:v>72.603999650000006</c:v>
                </c:pt>
                <c:pt idx="133">
                  <c:v>72.663999500000003</c:v>
                </c:pt>
                <c:pt idx="134">
                  <c:v>72.732999750000005</c:v>
                </c:pt>
                <c:pt idx="135">
                  <c:v>72.687999700000006</c:v>
                </c:pt>
                <c:pt idx="136">
                  <c:v>72.726499500000017</c:v>
                </c:pt>
                <c:pt idx="137">
                  <c:v>72.595499750000016</c:v>
                </c:pt>
                <c:pt idx="138">
                  <c:v>72.510499899999999</c:v>
                </c:pt>
                <c:pt idx="139">
                  <c:v>72.418500050000006</c:v>
                </c:pt>
                <c:pt idx="140">
                  <c:v>72.319499850000014</c:v>
                </c:pt>
                <c:pt idx="141">
                  <c:v>72.149999900000012</c:v>
                </c:pt>
                <c:pt idx="142">
                  <c:v>72.153999999999996</c:v>
                </c:pt>
                <c:pt idx="143">
                  <c:v>72.101999950000007</c:v>
                </c:pt>
                <c:pt idx="144">
                  <c:v>71.924500199999997</c:v>
                </c:pt>
                <c:pt idx="145">
                  <c:v>71.690500200000002</c:v>
                </c:pt>
                <c:pt idx="146">
                  <c:v>71.661000400000006</c:v>
                </c:pt>
                <c:pt idx="147">
                  <c:v>71.754500550000003</c:v>
                </c:pt>
                <c:pt idx="148">
                  <c:v>71.840000500000002</c:v>
                </c:pt>
                <c:pt idx="149">
                  <c:v>71.895000399999986</c:v>
                </c:pt>
                <c:pt idx="150">
                  <c:v>71.998000649999994</c:v>
                </c:pt>
                <c:pt idx="151">
                  <c:v>72.281000799999987</c:v>
                </c:pt>
                <c:pt idx="152">
                  <c:v>72.535000549999978</c:v>
                </c:pt>
                <c:pt idx="153">
                  <c:v>73.046000649999996</c:v>
                </c:pt>
                <c:pt idx="154">
                  <c:v>73.41150055</c:v>
                </c:pt>
                <c:pt idx="155">
                  <c:v>73.913000499999995</c:v>
                </c:pt>
                <c:pt idx="156">
                  <c:v>74.281500650000012</c:v>
                </c:pt>
                <c:pt idx="157">
                  <c:v>74.839000350000006</c:v>
                </c:pt>
                <c:pt idx="158">
                  <c:v>75.317500350000003</c:v>
                </c:pt>
                <c:pt idx="159">
                  <c:v>75.902000099999995</c:v>
                </c:pt>
                <c:pt idx="160">
                  <c:v>76.5430001</c:v>
                </c:pt>
                <c:pt idx="161">
                  <c:v>77.326500349999989</c:v>
                </c:pt>
                <c:pt idx="162">
                  <c:v>77.955000349999992</c:v>
                </c:pt>
                <c:pt idx="163">
                  <c:v>78.654000549999992</c:v>
                </c:pt>
                <c:pt idx="164">
                  <c:v>79.421000349999986</c:v>
                </c:pt>
                <c:pt idx="165">
                  <c:v>80.27100034999998</c:v>
                </c:pt>
                <c:pt idx="166">
                  <c:v>80.960000299999976</c:v>
                </c:pt>
                <c:pt idx="167">
                  <c:v>81.641000049999974</c:v>
                </c:pt>
                <c:pt idx="168">
                  <c:v>82.250000099999994</c:v>
                </c:pt>
                <c:pt idx="169">
                  <c:v>82.844500100000005</c:v>
                </c:pt>
                <c:pt idx="170">
                  <c:v>83.289999900000012</c:v>
                </c:pt>
                <c:pt idx="171">
                  <c:v>83.568499899999992</c:v>
                </c:pt>
                <c:pt idx="172">
                  <c:v>83.821500150000006</c:v>
                </c:pt>
                <c:pt idx="173">
                  <c:v>83.83900005000001</c:v>
                </c:pt>
                <c:pt idx="174">
                  <c:v>84.014999849999995</c:v>
                </c:pt>
                <c:pt idx="175">
                  <c:v>84.140499949999992</c:v>
                </c:pt>
                <c:pt idx="176">
                  <c:v>84.22999999999999</c:v>
                </c:pt>
                <c:pt idx="177">
                  <c:v>84.320500249999995</c:v>
                </c:pt>
                <c:pt idx="178">
                  <c:v>84.525000450000007</c:v>
                </c:pt>
                <c:pt idx="179">
                  <c:v>84.670500649999994</c:v>
                </c:pt>
                <c:pt idx="180">
                  <c:v>84.845000900000002</c:v>
                </c:pt>
                <c:pt idx="181">
                  <c:v>84.862500849999989</c:v>
                </c:pt>
                <c:pt idx="182">
                  <c:v>84.805000750000005</c:v>
                </c:pt>
              </c:numCache>
            </c:numRef>
          </c:val>
          <c:smooth val="0"/>
          <c:extLst>
            <c:ext xmlns:c16="http://schemas.microsoft.com/office/drawing/2014/chart" uri="{C3380CC4-5D6E-409C-BE32-E72D297353CC}">
              <c16:uniqueId val="{00000002-1DED-4143-AC8F-5D0EB3D176B4}"/>
            </c:ext>
          </c:extLst>
        </c:ser>
        <c:dLbls>
          <c:showLegendKey val="0"/>
          <c:showVal val="0"/>
          <c:showCatName val="0"/>
          <c:showSerName val="0"/>
          <c:showPercent val="0"/>
          <c:showBubbleSize val="0"/>
        </c:dLbls>
        <c:smooth val="0"/>
        <c:axId val="821523344"/>
        <c:axId val="821539744"/>
      </c:lineChart>
      <c:dateAx>
        <c:axId val="821523344"/>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MX"/>
          </a:p>
        </c:txPr>
        <c:crossAx val="821539744"/>
        <c:crosses val="autoZero"/>
        <c:auto val="1"/>
        <c:lblOffset val="100"/>
        <c:baseTimeUnit val="days"/>
      </c:dateAx>
      <c:valAx>
        <c:axId val="821539744"/>
        <c:scaling>
          <c:orientation val="minMax"/>
          <c:max val="93"/>
          <c:min val="5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2152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Señales: MACD</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MX"/>
        </a:p>
      </c:txPr>
    </c:title>
    <c:autoTitleDeleted val="0"/>
    <c:plotArea>
      <c:layout/>
      <c:lineChart>
        <c:grouping val="standard"/>
        <c:varyColors val="0"/>
        <c:ser>
          <c:idx val="0"/>
          <c:order val="0"/>
          <c:tx>
            <c:v>Close</c:v>
          </c:tx>
          <c:spPr>
            <a:ln w="38100" cap="rnd">
              <a:solidFill>
                <a:schemeClr val="accent1"/>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Datos!$E$21:$E$203</c:f>
              <c:numCache>
                <c:formatCode>General</c:formatCode>
                <c:ptCount val="183"/>
                <c:pt idx="0">
                  <c:v>59.220001000000003</c:v>
                </c:pt>
                <c:pt idx="1">
                  <c:v>60.599997999999999</c:v>
                </c:pt>
                <c:pt idx="2">
                  <c:v>60.119999</c:v>
                </c:pt>
                <c:pt idx="3">
                  <c:v>60.060001</c:v>
                </c:pt>
                <c:pt idx="4">
                  <c:v>62.98</c:v>
                </c:pt>
                <c:pt idx="5">
                  <c:v>64.319999999999993</c:v>
                </c:pt>
                <c:pt idx="6">
                  <c:v>62.5</c:v>
                </c:pt>
                <c:pt idx="7">
                  <c:v>59.509998000000003</c:v>
                </c:pt>
                <c:pt idx="8">
                  <c:v>59.5</c:v>
                </c:pt>
                <c:pt idx="9">
                  <c:v>59.220001000000003</c:v>
                </c:pt>
                <c:pt idx="10">
                  <c:v>58.41</c:v>
                </c:pt>
                <c:pt idx="11">
                  <c:v>56.650002000000001</c:v>
                </c:pt>
                <c:pt idx="12">
                  <c:v>57.779998999999997</c:v>
                </c:pt>
                <c:pt idx="13">
                  <c:v>57.779998999999997</c:v>
                </c:pt>
                <c:pt idx="14">
                  <c:v>59.610000999999997</c:v>
                </c:pt>
                <c:pt idx="15">
                  <c:v>57.610000999999997</c:v>
                </c:pt>
                <c:pt idx="16">
                  <c:v>55.84</c:v>
                </c:pt>
                <c:pt idx="17">
                  <c:v>55.990001999999997</c:v>
                </c:pt>
                <c:pt idx="18">
                  <c:v>56.139999000000003</c:v>
                </c:pt>
                <c:pt idx="19">
                  <c:v>56.189999</c:v>
                </c:pt>
                <c:pt idx="20">
                  <c:v>61.490001999999997</c:v>
                </c:pt>
                <c:pt idx="21">
                  <c:v>62.610000999999997</c:v>
                </c:pt>
                <c:pt idx="22">
                  <c:v>62.900002000000001</c:v>
                </c:pt>
                <c:pt idx="23">
                  <c:v>67.089995999999999</c:v>
                </c:pt>
                <c:pt idx="24">
                  <c:v>62.049999</c:v>
                </c:pt>
                <c:pt idx="25">
                  <c:v>59.290000999999997</c:v>
                </c:pt>
                <c:pt idx="26">
                  <c:v>60.709999000000003</c:v>
                </c:pt>
                <c:pt idx="27">
                  <c:v>61.259998000000003</c:v>
                </c:pt>
                <c:pt idx="28">
                  <c:v>60.330002</c:v>
                </c:pt>
                <c:pt idx="29">
                  <c:v>60.27</c:v>
                </c:pt>
                <c:pt idx="30">
                  <c:v>58.130001</c:v>
                </c:pt>
                <c:pt idx="31">
                  <c:v>59.369999</c:v>
                </c:pt>
                <c:pt idx="32">
                  <c:v>57.91</c:v>
                </c:pt>
                <c:pt idx="33">
                  <c:v>58.43</c:v>
                </c:pt>
                <c:pt idx="34">
                  <c:v>58.970001000000003</c:v>
                </c:pt>
                <c:pt idx="35">
                  <c:v>57.169998</c:v>
                </c:pt>
                <c:pt idx="36">
                  <c:v>56.459999000000003</c:v>
                </c:pt>
                <c:pt idx="37">
                  <c:v>57.77</c:v>
                </c:pt>
                <c:pt idx="38">
                  <c:v>58.52</c:v>
                </c:pt>
                <c:pt idx="39">
                  <c:v>58.099997999999999</c:v>
                </c:pt>
                <c:pt idx="40">
                  <c:v>59.540000999999997</c:v>
                </c:pt>
                <c:pt idx="41">
                  <c:v>61.16</c:v>
                </c:pt>
                <c:pt idx="42">
                  <c:v>61.439999</c:v>
                </c:pt>
                <c:pt idx="43">
                  <c:v>61.09</c:v>
                </c:pt>
                <c:pt idx="44">
                  <c:v>64.720000999999996</c:v>
                </c:pt>
                <c:pt idx="45">
                  <c:v>64.660004000000001</c:v>
                </c:pt>
                <c:pt idx="46">
                  <c:v>62.48</c:v>
                </c:pt>
                <c:pt idx="47">
                  <c:v>62.18</c:v>
                </c:pt>
                <c:pt idx="48">
                  <c:v>63.439999</c:v>
                </c:pt>
                <c:pt idx="49">
                  <c:v>63.57</c:v>
                </c:pt>
                <c:pt idx="50">
                  <c:v>63.220001000000003</c:v>
                </c:pt>
                <c:pt idx="51">
                  <c:v>64.519997000000004</c:v>
                </c:pt>
                <c:pt idx="52">
                  <c:v>61.400002000000001</c:v>
                </c:pt>
                <c:pt idx="53">
                  <c:v>62.290000999999997</c:v>
                </c:pt>
                <c:pt idx="54">
                  <c:v>60.720001000000003</c:v>
                </c:pt>
                <c:pt idx="55">
                  <c:v>62.599997999999999</c:v>
                </c:pt>
                <c:pt idx="56">
                  <c:v>62.630001</c:v>
                </c:pt>
                <c:pt idx="57">
                  <c:v>62.509998000000003</c:v>
                </c:pt>
                <c:pt idx="58">
                  <c:v>64.110000999999997</c:v>
                </c:pt>
                <c:pt idx="59">
                  <c:v>61.700001</c:v>
                </c:pt>
                <c:pt idx="60">
                  <c:v>63.490001999999997</c:v>
                </c:pt>
                <c:pt idx="61">
                  <c:v>63.48</c:v>
                </c:pt>
                <c:pt idx="62">
                  <c:v>63.810001</c:v>
                </c:pt>
                <c:pt idx="63">
                  <c:v>65.959998999999996</c:v>
                </c:pt>
                <c:pt idx="64">
                  <c:v>66</c:v>
                </c:pt>
                <c:pt idx="65">
                  <c:v>65.849997999999999</c:v>
                </c:pt>
                <c:pt idx="66">
                  <c:v>65.370002999999997</c:v>
                </c:pt>
                <c:pt idx="67">
                  <c:v>65.809997999999993</c:v>
                </c:pt>
                <c:pt idx="68">
                  <c:v>69.569999999999993</c:v>
                </c:pt>
                <c:pt idx="69">
                  <c:v>67.180000000000007</c:v>
                </c:pt>
                <c:pt idx="70">
                  <c:v>69.910004000000001</c:v>
                </c:pt>
                <c:pt idx="71">
                  <c:v>69.680000000000007</c:v>
                </c:pt>
                <c:pt idx="72">
                  <c:v>70.599997999999999</c:v>
                </c:pt>
                <c:pt idx="73">
                  <c:v>70.760002</c:v>
                </c:pt>
                <c:pt idx="74">
                  <c:v>68.290001000000004</c:v>
                </c:pt>
                <c:pt idx="75">
                  <c:v>69.050003000000004</c:v>
                </c:pt>
                <c:pt idx="76">
                  <c:v>70.110000999999997</c:v>
                </c:pt>
                <c:pt idx="77">
                  <c:v>72.599997999999999</c:v>
                </c:pt>
                <c:pt idx="78">
                  <c:v>71.5</c:v>
                </c:pt>
                <c:pt idx="79">
                  <c:v>72.069999999999993</c:v>
                </c:pt>
                <c:pt idx="80">
                  <c:v>72.410004000000001</c:v>
                </c:pt>
                <c:pt idx="81">
                  <c:v>73</c:v>
                </c:pt>
                <c:pt idx="82">
                  <c:v>74.440002000000007</c:v>
                </c:pt>
                <c:pt idx="83">
                  <c:v>74.239998</c:v>
                </c:pt>
                <c:pt idx="84">
                  <c:v>74.069999999999993</c:v>
                </c:pt>
                <c:pt idx="85">
                  <c:v>73.069999999999993</c:v>
                </c:pt>
                <c:pt idx="86">
                  <c:v>75.080001999999993</c:v>
                </c:pt>
                <c:pt idx="87">
                  <c:v>72.040001000000004</c:v>
                </c:pt>
                <c:pt idx="88">
                  <c:v>71.150002000000001</c:v>
                </c:pt>
                <c:pt idx="89">
                  <c:v>72.290001000000004</c:v>
                </c:pt>
                <c:pt idx="90">
                  <c:v>71.580001999999993</c:v>
                </c:pt>
                <c:pt idx="91">
                  <c:v>70.849997999999999</c:v>
                </c:pt>
                <c:pt idx="92">
                  <c:v>70.160004000000001</c:v>
                </c:pt>
                <c:pt idx="93">
                  <c:v>73.129997000000003</c:v>
                </c:pt>
                <c:pt idx="94">
                  <c:v>75.540001000000004</c:v>
                </c:pt>
                <c:pt idx="95">
                  <c:v>76.309997999999993</c:v>
                </c:pt>
                <c:pt idx="96">
                  <c:v>76.319999999999993</c:v>
                </c:pt>
                <c:pt idx="97">
                  <c:v>76.690002000000007</c:v>
                </c:pt>
                <c:pt idx="98">
                  <c:v>75.239998</c:v>
                </c:pt>
                <c:pt idx="99">
                  <c:v>74.769997000000004</c:v>
                </c:pt>
                <c:pt idx="100">
                  <c:v>73.940002000000007</c:v>
                </c:pt>
                <c:pt idx="101">
                  <c:v>73.559997999999993</c:v>
                </c:pt>
                <c:pt idx="102">
                  <c:v>73.559997999999993</c:v>
                </c:pt>
                <c:pt idx="103">
                  <c:v>74.519997000000004</c:v>
                </c:pt>
                <c:pt idx="104">
                  <c:v>73.650002000000001</c:v>
                </c:pt>
                <c:pt idx="105">
                  <c:v>73.5</c:v>
                </c:pt>
                <c:pt idx="106">
                  <c:v>73.610000999999997</c:v>
                </c:pt>
                <c:pt idx="107">
                  <c:v>73.400002000000001</c:v>
                </c:pt>
                <c:pt idx="108">
                  <c:v>71.129997000000003</c:v>
                </c:pt>
                <c:pt idx="109">
                  <c:v>69.470000999999996</c:v>
                </c:pt>
                <c:pt idx="110">
                  <c:v>66.220000999999996</c:v>
                </c:pt>
                <c:pt idx="111">
                  <c:v>70.269997000000004</c:v>
                </c:pt>
                <c:pt idx="112">
                  <c:v>71.970000999999996</c:v>
                </c:pt>
                <c:pt idx="113">
                  <c:v>70.480002999999996</c:v>
                </c:pt>
                <c:pt idx="114">
                  <c:v>70.879997000000003</c:v>
                </c:pt>
                <c:pt idx="115">
                  <c:v>71.940002000000007</c:v>
                </c:pt>
                <c:pt idx="116">
                  <c:v>72.120002999999997</c:v>
                </c:pt>
                <c:pt idx="117">
                  <c:v>73.029999000000004</c:v>
                </c:pt>
                <c:pt idx="118">
                  <c:v>73.699996999999996</c:v>
                </c:pt>
                <c:pt idx="119">
                  <c:v>73.029999000000004</c:v>
                </c:pt>
                <c:pt idx="120">
                  <c:v>72.650002000000001</c:v>
                </c:pt>
                <c:pt idx="121">
                  <c:v>73.449996999999996</c:v>
                </c:pt>
                <c:pt idx="122">
                  <c:v>72.919998000000007</c:v>
                </c:pt>
                <c:pt idx="123">
                  <c:v>72.970000999999996</c:v>
                </c:pt>
                <c:pt idx="124">
                  <c:v>73.589995999999999</c:v>
                </c:pt>
                <c:pt idx="125">
                  <c:v>75.180000000000007</c:v>
                </c:pt>
                <c:pt idx="126">
                  <c:v>72.389999000000003</c:v>
                </c:pt>
                <c:pt idx="127">
                  <c:v>71.5</c:v>
                </c:pt>
                <c:pt idx="128">
                  <c:v>73.510002</c:v>
                </c:pt>
                <c:pt idx="129">
                  <c:v>73.5</c:v>
                </c:pt>
                <c:pt idx="130">
                  <c:v>72.739998</c:v>
                </c:pt>
                <c:pt idx="131">
                  <c:v>70.769997000000004</c:v>
                </c:pt>
                <c:pt idx="132">
                  <c:v>71.730002999999996</c:v>
                </c:pt>
                <c:pt idx="133">
                  <c:v>71.680000000000007</c:v>
                </c:pt>
                <c:pt idx="134">
                  <c:v>72.260002</c:v>
                </c:pt>
                <c:pt idx="135">
                  <c:v>71.040001000000004</c:v>
                </c:pt>
                <c:pt idx="136">
                  <c:v>72.889999000000003</c:v>
                </c:pt>
                <c:pt idx="137">
                  <c:v>70.410004000000001</c:v>
                </c:pt>
                <c:pt idx="138">
                  <c:v>72</c:v>
                </c:pt>
                <c:pt idx="139">
                  <c:v>71.190002000000007</c:v>
                </c:pt>
                <c:pt idx="140">
                  <c:v>70.669998000000007</c:v>
                </c:pt>
                <c:pt idx="141">
                  <c:v>70.059997999999993</c:v>
                </c:pt>
                <c:pt idx="142">
                  <c:v>73</c:v>
                </c:pt>
                <c:pt idx="143">
                  <c:v>71.930000000000007</c:v>
                </c:pt>
                <c:pt idx="144">
                  <c:v>70.040001000000004</c:v>
                </c:pt>
                <c:pt idx="145">
                  <c:v>70.5</c:v>
                </c:pt>
                <c:pt idx="146">
                  <c:v>71.800003000000004</c:v>
                </c:pt>
                <c:pt idx="147">
                  <c:v>73.370002999999997</c:v>
                </c:pt>
                <c:pt idx="148">
                  <c:v>75.220000999999996</c:v>
                </c:pt>
                <c:pt idx="149">
                  <c:v>74.599997999999999</c:v>
                </c:pt>
                <c:pt idx="150">
                  <c:v>74.800003000000004</c:v>
                </c:pt>
                <c:pt idx="151">
                  <c:v>76.430000000000007</c:v>
                </c:pt>
                <c:pt idx="152">
                  <c:v>76.809997999999993</c:v>
                </c:pt>
                <c:pt idx="153">
                  <c:v>81.900002000000001</c:v>
                </c:pt>
                <c:pt idx="154">
                  <c:v>79.569999999999993</c:v>
                </c:pt>
                <c:pt idx="155">
                  <c:v>81.069999999999993</c:v>
                </c:pt>
                <c:pt idx="156">
                  <c:v>80.260002</c:v>
                </c:pt>
                <c:pt idx="157">
                  <c:v>81.559997999999993</c:v>
                </c:pt>
                <c:pt idx="158">
                  <c:v>81.569999999999993</c:v>
                </c:pt>
                <c:pt idx="159">
                  <c:v>82.879997000000003</c:v>
                </c:pt>
                <c:pt idx="160">
                  <c:v>83.489998</c:v>
                </c:pt>
                <c:pt idx="161">
                  <c:v>85.730002999999996</c:v>
                </c:pt>
                <c:pt idx="162">
                  <c:v>85.57</c:v>
                </c:pt>
                <c:pt idx="163">
                  <c:v>85.910004000000001</c:v>
                </c:pt>
                <c:pt idx="164">
                  <c:v>85.379997000000003</c:v>
                </c:pt>
                <c:pt idx="165">
                  <c:v>87.5</c:v>
                </c:pt>
                <c:pt idx="166">
                  <c:v>85.580001999999993</c:v>
                </c:pt>
                <c:pt idx="167">
                  <c:v>86.989998</c:v>
                </c:pt>
                <c:pt idx="168">
                  <c:v>87.400002000000001</c:v>
                </c:pt>
                <c:pt idx="169">
                  <c:v>86.489998</c:v>
                </c:pt>
                <c:pt idx="170">
                  <c:v>83.709998999999996</c:v>
                </c:pt>
                <c:pt idx="171">
                  <c:v>82</c:v>
                </c:pt>
                <c:pt idx="172">
                  <c:v>81.870002999999997</c:v>
                </c:pt>
                <c:pt idx="173">
                  <c:v>82.25</c:v>
                </c:pt>
                <c:pt idx="174">
                  <c:v>83.089995999999999</c:v>
                </c:pt>
                <c:pt idx="175">
                  <c:v>83.580001999999993</c:v>
                </c:pt>
                <c:pt idx="176">
                  <c:v>82.050003000000004</c:v>
                </c:pt>
                <c:pt idx="177">
                  <c:v>83.370002999999997</c:v>
                </c:pt>
                <c:pt idx="178">
                  <c:v>85.660004000000001</c:v>
                </c:pt>
                <c:pt idx="179">
                  <c:v>85.790001000000004</c:v>
                </c:pt>
                <c:pt idx="180">
                  <c:v>86.980002999999996</c:v>
                </c:pt>
                <c:pt idx="181">
                  <c:v>86.080001999999993</c:v>
                </c:pt>
                <c:pt idx="182">
                  <c:v>84.419998000000007</c:v>
                </c:pt>
              </c:numCache>
            </c:numRef>
          </c:val>
          <c:smooth val="0"/>
          <c:extLst>
            <c:ext xmlns:c16="http://schemas.microsoft.com/office/drawing/2014/chart" uri="{C3380CC4-5D6E-409C-BE32-E72D297353CC}">
              <c16:uniqueId val="{00000000-028D-6247-AF63-C9FCDC694F9D}"/>
            </c:ext>
          </c:extLst>
        </c:ser>
        <c:ser>
          <c:idx val="1"/>
          <c:order val="1"/>
          <c:tx>
            <c:v>MMS(5)</c:v>
          </c:tx>
          <c:spPr>
            <a:ln w="38100" cap="rnd">
              <a:solidFill>
                <a:schemeClr val="accent2"/>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Datos!$F$21:$F$203</c:f>
              <c:numCache>
                <c:formatCode>General</c:formatCode>
                <c:ptCount val="183"/>
                <c:pt idx="0">
                  <c:v>58.402000599999994</c:v>
                </c:pt>
                <c:pt idx="1">
                  <c:v>58.664000000000001</c:v>
                </c:pt>
                <c:pt idx="2">
                  <c:v>59.189999399999998</c:v>
                </c:pt>
                <c:pt idx="3">
                  <c:v>59.655999599999994</c:v>
                </c:pt>
                <c:pt idx="4">
                  <c:v>60.595999800000001</c:v>
                </c:pt>
                <c:pt idx="5">
                  <c:v>61.615999599999995</c:v>
                </c:pt>
                <c:pt idx="6">
                  <c:v>61.996000000000002</c:v>
                </c:pt>
                <c:pt idx="7">
                  <c:v>61.8739998</c:v>
                </c:pt>
                <c:pt idx="8">
                  <c:v>61.761999599999989</c:v>
                </c:pt>
                <c:pt idx="9">
                  <c:v>61.009999800000003</c:v>
                </c:pt>
                <c:pt idx="10">
                  <c:v>59.827999800000001</c:v>
                </c:pt>
                <c:pt idx="11">
                  <c:v>58.658000199999989</c:v>
                </c:pt>
                <c:pt idx="12">
                  <c:v>58.312000400000002</c:v>
                </c:pt>
                <c:pt idx="13">
                  <c:v>57.968000199999992</c:v>
                </c:pt>
                <c:pt idx="14">
                  <c:v>58.046000200000002</c:v>
                </c:pt>
                <c:pt idx="15">
                  <c:v>57.8860004</c:v>
                </c:pt>
                <c:pt idx="16">
                  <c:v>57.724000000000004</c:v>
                </c:pt>
                <c:pt idx="17">
                  <c:v>57.366000599999992</c:v>
                </c:pt>
                <c:pt idx="18">
                  <c:v>57.038000599999997</c:v>
                </c:pt>
                <c:pt idx="19">
                  <c:v>56.354000199999994</c:v>
                </c:pt>
                <c:pt idx="20">
                  <c:v>57.130000400000007</c:v>
                </c:pt>
                <c:pt idx="21">
                  <c:v>58.484000600000002</c:v>
                </c:pt>
                <c:pt idx="22">
                  <c:v>59.866000600000007</c:v>
                </c:pt>
                <c:pt idx="23">
                  <c:v>62.056000000000004</c:v>
                </c:pt>
                <c:pt idx="24">
                  <c:v>63.227999999999994</c:v>
                </c:pt>
                <c:pt idx="25">
                  <c:v>62.787999800000001</c:v>
                </c:pt>
                <c:pt idx="26">
                  <c:v>62.407999400000008</c:v>
                </c:pt>
                <c:pt idx="27">
                  <c:v>62.079998599999996</c:v>
                </c:pt>
                <c:pt idx="28">
                  <c:v>60.727999799999999</c:v>
                </c:pt>
                <c:pt idx="29">
                  <c:v>60.372</c:v>
                </c:pt>
                <c:pt idx="30">
                  <c:v>60.140000000000008</c:v>
                </c:pt>
                <c:pt idx="31">
                  <c:v>59.872</c:v>
                </c:pt>
                <c:pt idx="32">
                  <c:v>59.202000399999996</c:v>
                </c:pt>
                <c:pt idx="33">
                  <c:v>58.822000000000003</c:v>
                </c:pt>
                <c:pt idx="34">
                  <c:v>58.5620002</c:v>
                </c:pt>
                <c:pt idx="35">
                  <c:v>58.369999600000007</c:v>
                </c:pt>
                <c:pt idx="36">
                  <c:v>57.787999599999999</c:v>
                </c:pt>
                <c:pt idx="37">
                  <c:v>57.7599996</c:v>
                </c:pt>
                <c:pt idx="38">
                  <c:v>57.777999600000001</c:v>
                </c:pt>
                <c:pt idx="39">
                  <c:v>57.603999000000002</c:v>
                </c:pt>
                <c:pt idx="40">
                  <c:v>58.077999599999998</c:v>
                </c:pt>
                <c:pt idx="41">
                  <c:v>59.017999799999998</c:v>
                </c:pt>
                <c:pt idx="42">
                  <c:v>59.751999599999998</c:v>
                </c:pt>
                <c:pt idx="43">
                  <c:v>60.265999600000001</c:v>
                </c:pt>
                <c:pt idx="44">
                  <c:v>61.590000199999999</c:v>
                </c:pt>
                <c:pt idx="45">
                  <c:v>62.614000799999999</c:v>
                </c:pt>
                <c:pt idx="46">
                  <c:v>62.878000800000009</c:v>
                </c:pt>
                <c:pt idx="47">
                  <c:v>63.026000999999994</c:v>
                </c:pt>
                <c:pt idx="48">
                  <c:v>63.496000800000004</c:v>
                </c:pt>
                <c:pt idx="49">
                  <c:v>63.266000600000005</c:v>
                </c:pt>
                <c:pt idx="50">
                  <c:v>62.977999999999994</c:v>
                </c:pt>
                <c:pt idx="51">
                  <c:v>63.385999400000003</c:v>
                </c:pt>
                <c:pt idx="52">
                  <c:v>63.229999799999995</c:v>
                </c:pt>
                <c:pt idx="53">
                  <c:v>63.000000200000002</c:v>
                </c:pt>
                <c:pt idx="54">
                  <c:v>62.430000400000004</c:v>
                </c:pt>
                <c:pt idx="55">
                  <c:v>62.305999799999995</c:v>
                </c:pt>
                <c:pt idx="56">
                  <c:v>61.928000599999997</c:v>
                </c:pt>
                <c:pt idx="57">
                  <c:v>62.149999800000003</c:v>
                </c:pt>
                <c:pt idx="58">
                  <c:v>62.513999800000001</c:v>
                </c:pt>
                <c:pt idx="59">
                  <c:v>62.709999799999991</c:v>
                </c:pt>
                <c:pt idx="60">
                  <c:v>62.888000599999998</c:v>
                </c:pt>
                <c:pt idx="61">
                  <c:v>63.058000400000005</c:v>
                </c:pt>
                <c:pt idx="62">
                  <c:v>63.318001000000002</c:v>
                </c:pt>
                <c:pt idx="63">
                  <c:v>63.688000599999995</c:v>
                </c:pt>
                <c:pt idx="64">
                  <c:v>64.548000400000006</c:v>
                </c:pt>
                <c:pt idx="65">
                  <c:v>65.019999600000006</c:v>
                </c:pt>
                <c:pt idx="66">
                  <c:v>65.398000199999998</c:v>
                </c:pt>
                <c:pt idx="67">
                  <c:v>65.797999599999997</c:v>
                </c:pt>
                <c:pt idx="68">
                  <c:v>66.519999799999994</c:v>
                </c:pt>
                <c:pt idx="69">
                  <c:v>66.755999799999998</c:v>
                </c:pt>
                <c:pt idx="70">
                  <c:v>67.56800100000001</c:v>
                </c:pt>
                <c:pt idx="71">
                  <c:v>68.430000400000011</c:v>
                </c:pt>
                <c:pt idx="72">
                  <c:v>69.38800040000001</c:v>
                </c:pt>
                <c:pt idx="73">
                  <c:v>69.6260008</c:v>
                </c:pt>
                <c:pt idx="74">
                  <c:v>69.848001000000011</c:v>
                </c:pt>
                <c:pt idx="75">
                  <c:v>69.676000800000011</c:v>
                </c:pt>
                <c:pt idx="76">
                  <c:v>69.762001000000012</c:v>
                </c:pt>
                <c:pt idx="77">
                  <c:v>70.162001000000004</c:v>
                </c:pt>
                <c:pt idx="78">
                  <c:v>70.310000600000009</c:v>
                </c:pt>
                <c:pt idx="79">
                  <c:v>71.066000399999993</c:v>
                </c:pt>
                <c:pt idx="80">
                  <c:v>71.738000599999992</c:v>
                </c:pt>
                <c:pt idx="81">
                  <c:v>72.316000399999993</c:v>
                </c:pt>
                <c:pt idx="82">
                  <c:v>72.684001199999997</c:v>
                </c:pt>
                <c:pt idx="83">
                  <c:v>73.232000800000009</c:v>
                </c:pt>
                <c:pt idx="84">
                  <c:v>73.6320008</c:v>
                </c:pt>
                <c:pt idx="85">
                  <c:v>73.763999999999996</c:v>
                </c:pt>
                <c:pt idx="86">
                  <c:v>74.180000399999997</c:v>
                </c:pt>
                <c:pt idx="87">
                  <c:v>73.700000200000005</c:v>
                </c:pt>
                <c:pt idx="88">
                  <c:v>73.082000999999991</c:v>
                </c:pt>
                <c:pt idx="89">
                  <c:v>72.726001200000013</c:v>
                </c:pt>
                <c:pt idx="90">
                  <c:v>72.428001599999988</c:v>
                </c:pt>
                <c:pt idx="91">
                  <c:v>71.582000799999989</c:v>
                </c:pt>
                <c:pt idx="92">
                  <c:v>71.206001400000005</c:v>
                </c:pt>
                <c:pt idx="93">
                  <c:v>71.602000399999994</c:v>
                </c:pt>
                <c:pt idx="94">
                  <c:v>72.252000400000014</c:v>
                </c:pt>
                <c:pt idx="95">
                  <c:v>73.197999600000003</c:v>
                </c:pt>
                <c:pt idx="96">
                  <c:v>74.292000000000002</c:v>
                </c:pt>
                <c:pt idx="97">
                  <c:v>75.597999600000009</c:v>
                </c:pt>
                <c:pt idx="98">
                  <c:v>76.019999800000008</c:v>
                </c:pt>
                <c:pt idx="99">
                  <c:v>75.865999000000002</c:v>
                </c:pt>
                <c:pt idx="100">
                  <c:v>75.391999799999994</c:v>
                </c:pt>
                <c:pt idx="101">
                  <c:v>74.839999399999996</c:v>
                </c:pt>
                <c:pt idx="102">
                  <c:v>74.213998599999996</c:v>
                </c:pt>
                <c:pt idx="103">
                  <c:v>74.069998400000003</c:v>
                </c:pt>
                <c:pt idx="104">
                  <c:v>73.845999400000011</c:v>
                </c:pt>
                <c:pt idx="105">
                  <c:v>73.757998999999998</c:v>
                </c:pt>
                <c:pt idx="106">
                  <c:v>73.76799960000001</c:v>
                </c:pt>
                <c:pt idx="107">
                  <c:v>73.736000400000009</c:v>
                </c:pt>
                <c:pt idx="108">
                  <c:v>73.058000399999997</c:v>
                </c:pt>
                <c:pt idx="109">
                  <c:v>72.222000199999997</c:v>
                </c:pt>
                <c:pt idx="110">
                  <c:v>70.76600040000001</c:v>
                </c:pt>
                <c:pt idx="111">
                  <c:v>70.097999600000009</c:v>
                </c:pt>
                <c:pt idx="112">
                  <c:v>69.811999399999991</c:v>
                </c:pt>
                <c:pt idx="113">
                  <c:v>69.682000599999995</c:v>
                </c:pt>
                <c:pt idx="114">
                  <c:v>69.963999799999996</c:v>
                </c:pt>
                <c:pt idx="115">
                  <c:v>71.108000000000004</c:v>
                </c:pt>
                <c:pt idx="116">
                  <c:v>71.478001199999994</c:v>
                </c:pt>
                <c:pt idx="117">
                  <c:v>71.690000800000007</c:v>
                </c:pt>
                <c:pt idx="118">
                  <c:v>72.333999599999999</c:v>
                </c:pt>
                <c:pt idx="119">
                  <c:v>72.763999999999982</c:v>
                </c:pt>
                <c:pt idx="120">
                  <c:v>72.905999999999992</c:v>
                </c:pt>
                <c:pt idx="121">
                  <c:v>73.171998799999997</c:v>
                </c:pt>
                <c:pt idx="122">
                  <c:v>73.149998600000004</c:v>
                </c:pt>
                <c:pt idx="123">
                  <c:v>73.003999399999998</c:v>
                </c:pt>
                <c:pt idx="124">
                  <c:v>73.1159988</c:v>
                </c:pt>
                <c:pt idx="125">
                  <c:v>73.62199840000001</c:v>
                </c:pt>
                <c:pt idx="126">
                  <c:v>73.409998799999997</c:v>
                </c:pt>
                <c:pt idx="127">
                  <c:v>73.125999199999995</c:v>
                </c:pt>
                <c:pt idx="128">
                  <c:v>73.233999399999988</c:v>
                </c:pt>
                <c:pt idx="129">
                  <c:v>73.216000199999996</c:v>
                </c:pt>
                <c:pt idx="130">
                  <c:v>72.727999799999992</c:v>
                </c:pt>
                <c:pt idx="131">
                  <c:v>72.403999400000004</c:v>
                </c:pt>
                <c:pt idx="132">
                  <c:v>72.45</c:v>
                </c:pt>
                <c:pt idx="133">
                  <c:v>72.083999599999999</c:v>
                </c:pt>
                <c:pt idx="134">
                  <c:v>71.835999999999999</c:v>
                </c:pt>
                <c:pt idx="135">
                  <c:v>71.496000600000002</c:v>
                </c:pt>
                <c:pt idx="136">
                  <c:v>71.920000999999999</c:v>
                </c:pt>
                <c:pt idx="137">
                  <c:v>71.656001200000006</c:v>
                </c:pt>
                <c:pt idx="138">
                  <c:v>71.720001199999999</c:v>
                </c:pt>
                <c:pt idx="139">
                  <c:v>71.5060012</c:v>
                </c:pt>
                <c:pt idx="140">
                  <c:v>71.432000600000009</c:v>
                </c:pt>
                <c:pt idx="141">
                  <c:v>70.866000400000004</c:v>
                </c:pt>
                <c:pt idx="142">
                  <c:v>71.38399960000001</c:v>
                </c:pt>
                <c:pt idx="143">
                  <c:v>71.3699996</c:v>
                </c:pt>
                <c:pt idx="144">
                  <c:v>71.139999399999994</c:v>
                </c:pt>
                <c:pt idx="145">
                  <c:v>71.105999800000006</c:v>
                </c:pt>
                <c:pt idx="146">
                  <c:v>71.454000800000003</c:v>
                </c:pt>
                <c:pt idx="147">
                  <c:v>71.528001400000008</c:v>
                </c:pt>
                <c:pt idx="148">
                  <c:v>72.186001600000012</c:v>
                </c:pt>
                <c:pt idx="149">
                  <c:v>73.098000999999996</c:v>
                </c:pt>
                <c:pt idx="150">
                  <c:v>73.958001600000003</c:v>
                </c:pt>
                <c:pt idx="151">
                  <c:v>74.884000999999998</c:v>
                </c:pt>
                <c:pt idx="152">
                  <c:v>75.572000000000003</c:v>
                </c:pt>
                <c:pt idx="153">
                  <c:v>76.908000199999989</c:v>
                </c:pt>
                <c:pt idx="154">
                  <c:v>77.902000600000008</c:v>
                </c:pt>
                <c:pt idx="155">
                  <c:v>79.156000000000006</c:v>
                </c:pt>
                <c:pt idx="156">
                  <c:v>79.922000399999988</c:v>
                </c:pt>
                <c:pt idx="157">
                  <c:v>80.872000400000005</c:v>
                </c:pt>
                <c:pt idx="158">
                  <c:v>80.805999999999997</c:v>
                </c:pt>
                <c:pt idx="159">
                  <c:v>81.467999399999997</c:v>
                </c:pt>
                <c:pt idx="160">
                  <c:v>81.951999000000001</c:v>
                </c:pt>
                <c:pt idx="161">
                  <c:v>83.045999200000011</c:v>
                </c:pt>
                <c:pt idx="162">
                  <c:v>83.847999600000009</c:v>
                </c:pt>
                <c:pt idx="163">
                  <c:v>84.716000400000013</c:v>
                </c:pt>
                <c:pt idx="164">
                  <c:v>85.216000399999999</c:v>
                </c:pt>
                <c:pt idx="165">
                  <c:v>86.01800080000001</c:v>
                </c:pt>
                <c:pt idx="166">
                  <c:v>85.988000599999992</c:v>
                </c:pt>
                <c:pt idx="167">
                  <c:v>86.272000200000008</c:v>
                </c:pt>
                <c:pt idx="168">
                  <c:v>86.569999800000005</c:v>
                </c:pt>
                <c:pt idx="169">
                  <c:v>86.792000000000002</c:v>
                </c:pt>
                <c:pt idx="170">
                  <c:v>86.033999800000004</c:v>
                </c:pt>
                <c:pt idx="171">
                  <c:v>85.317999399999991</c:v>
                </c:pt>
                <c:pt idx="172">
                  <c:v>84.294000399999987</c:v>
                </c:pt>
                <c:pt idx="173">
                  <c:v>83.263999999999996</c:v>
                </c:pt>
                <c:pt idx="174">
                  <c:v>82.583999599999999</c:v>
                </c:pt>
                <c:pt idx="175">
                  <c:v>82.558000199999995</c:v>
                </c:pt>
                <c:pt idx="176">
                  <c:v>82.568000799999993</c:v>
                </c:pt>
                <c:pt idx="177">
                  <c:v>82.86800079999999</c:v>
                </c:pt>
                <c:pt idx="178">
                  <c:v>83.550001600000002</c:v>
                </c:pt>
                <c:pt idx="179">
                  <c:v>84.090002600000005</c:v>
                </c:pt>
                <c:pt idx="180">
                  <c:v>84.770002800000015</c:v>
                </c:pt>
                <c:pt idx="181">
                  <c:v>85.57600260000001</c:v>
                </c:pt>
                <c:pt idx="182">
                  <c:v>85.786001599999992</c:v>
                </c:pt>
              </c:numCache>
            </c:numRef>
          </c:val>
          <c:smooth val="0"/>
          <c:extLst>
            <c:ext xmlns:c16="http://schemas.microsoft.com/office/drawing/2014/chart" uri="{C3380CC4-5D6E-409C-BE32-E72D297353CC}">
              <c16:uniqueId val="{00000001-028D-6247-AF63-C9FCDC694F9D}"/>
            </c:ext>
          </c:extLst>
        </c:ser>
        <c:ser>
          <c:idx val="2"/>
          <c:order val="2"/>
          <c:tx>
            <c:v>MMS(20)</c:v>
          </c:tx>
          <c:spPr>
            <a:ln w="38100" cap="rnd">
              <a:solidFill>
                <a:schemeClr val="accent3"/>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Datos!$G$21:$G$203</c:f>
              <c:numCache>
                <c:formatCode>General</c:formatCode>
                <c:ptCount val="183"/>
                <c:pt idx="0">
                  <c:v>58.032000249999996</c:v>
                </c:pt>
                <c:pt idx="1">
                  <c:v>57.908500149999995</c:v>
                </c:pt>
                <c:pt idx="2">
                  <c:v>57.797999999999988</c:v>
                </c:pt>
                <c:pt idx="3">
                  <c:v>57.705999949999999</c:v>
                </c:pt>
                <c:pt idx="4">
                  <c:v>57.894499999999994</c:v>
                </c:pt>
                <c:pt idx="5">
                  <c:v>58.238500049999992</c:v>
                </c:pt>
                <c:pt idx="6">
                  <c:v>58.703499999999998</c:v>
                </c:pt>
                <c:pt idx="7">
                  <c:v>58.968499950000002</c:v>
                </c:pt>
                <c:pt idx="8">
                  <c:v>59.120500000000007</c:v>
                </c:pt>
                <c:pt idx="9">
                  <c:v>59.226500149999993</c:v>
                </c:pt>
                <c:pt idx="10">
                  <c:v>59.314500050000007</c:v>
                </c:pt>
                <c:pt idx="11">
                  <c:v>59.387000100000002</c:v>
                </c:pt>
                <c:pt idx="12">
                  <c:v>59.462500050000003</c:v>
                </c:pt>
                <c:pt idx="13">
                  <c:v>59.407000050000008</c:v>
                </c:pt>
                <c:pt idx="14">
                  <c:v>59.451500050000007</c:v>
                </c:pt>
                <c:pt idx="15">
                  <c:v>59.433000100000001</c:v>
                </c:pt>
                <c:pt idx="16">
                  <c:v>59.260500049999983</c:v>
                </c:pt>
                <c:pt idx="17">
                  <c:v>59.185500049999987</c:v>
                </c:pt>
                <c:pt idx="18">
                  <c:v>59.105999999999995</c:v>
                </c:pt>
                <c:pt idx="19">
                  <c:v>59.0015</c:v>
                </c:pt>
                <c:pt idx="20">
                  <c:v>59.115000049999992</c:v>
                </c:pt>
                <c:pt idx="21">
                  <c:v>59.215500199999994</c:v>
                </c:pt>
                <c:pt idx="22">
                  <c:v>59.354500350000002</c:v>
                </c:pt>
                <c:pt idx="23">
                  <c:v>59.706000099999997</c:v>
                </c:pt>
                <c:pt idx="24">
                  <c:v>59.659500050000005</c:v>
                </c:pt>
                <c:pt idx="25">
                  <c:v>59.408000100000002</c:v>
                </c:pt>
                <c:pt idx="26">
                  <c:v>59.318500049999997</c:v>
                </c:pt>
                <c:pt idx="27">
                  <c:v>59.406000049999989</c:v>
                </c:pt>
                <c:pt idx="28">
                  <c:v>59.447500149999982</c:v>
                </c:pt>
                <c:pt idx="29">
                  <c:v>59.500000100000001</c:v>
                </c:pt>
                <c:pt idx="30">
                  <c:v>59.486000149999995</c:v>
                </c:pt>
                <c:pt idx="31">
                  <c:v>59.622</c:v>
                </c:pt>
                <c:pt idx="32">
                  <c:v>59.62850005</c:v>
                </c:pt>
                <c:pt idx="33">
                  <c:v>59.661000100000003</c:v>
                </c:pt>
                <c:pt idx="34">
                  <c:v>59.629000099999999</c:v>
                </c:pt>
                <c:pt idx="35">
                  <c:v>59.606999950000002</c:v>
                </c:pt>
                <c:pt idx="36">
                  <c:v>59.637999899999997</c:v>
                </c:pt>
                <c:pt idx="37">
                  <c:v>59.726999800000002</c:v>
                </c:pt>
                <c:pt idx="38">
                  <c:v>59.845999849999998</c:v>
                </c:pt>
                <c:pt idx="39">
                  <c:v>59.941499799999988</c:v>
                </c:pt>
                <c:pt idx="40">
                  <c:v>59.843999750000002</c:v>
                </c:pt>
                <c:pt idx="41">
                  <c:v>59.771499700000007</c:v>
                </c:pt>
                <c:pt idx="42">
                  <c:v>59.698499549999994</c:v>
                </c:pt>
                <c:pt idx="43">
                  <c:v>59.398499749999985</c:v>
                </c:pt>
                <c:pt idx="44">
                  <c:v>59.531999849999991</c:v>
                </c:pt>
                <c:pt idx="45">
                  <c:v>59.800499999999985</c:v>
                </c:pt>
                <c:pt idx="46">
                  <c:v>59.889000050000007</c:v>
                </c:pt>
                <c:pt idx="47">
                  <c:v>59.935000150000008</c:v>
                </c:pt>
                <c:pt idx="48">
                  <c:v>60.090499999999999</c:v>
                </c:pt>
                <c:pt idx="49">
                  <c:v>60.255499999999998</c:v>
                </c:pt>
                <c:pt idx="50">
                  <c:v>60.509999999999977</c:v>
                </c:pt>
                <c:pt idx="51">
                  <c:v>60.767499899999983</c:v>
                </c:pt>
                <c:pt idx="52">
                  <c:v>60.941999999999993</c:v>
                </c:pt>
                <c:pt idx="53">
                  <c:v>61.135000050000016</c:v>
                </c:pt>
                <c:pt idx="54">
                  <c:v>61.222500050000008</c:v>
                </c:pt>
                <c:pt idx="55">
                  <c:v>61.49400004999999</c:v>
                </c:pt>
                <c:pt idx="56">
                  <c:v>61.802500149999993</c:v>
                </c:pt>
                <c:pt idx="57">
                  <c:v>62.039500049999994</c:v>
                </c:pt>
                <c:pt idx="58">
                  <c:v>62.319000099999997</c:v>
                </c:pt>
                <c:pt idx="59">
                  <c:v>62.499000250000009</c:v>
                </c:pt>
                <c:pt idx="60">
                  <c:v>62.696500300000004</c:v>
                </c:pt>
                <c:pt idx="61">
                  <c:v>62.812500299999996</c:v>
                </c:pt>
                <c:pt idx="62">
                  <c:v>62.931000400000002</c:v>
                </c:pt>
                <c:pt idx="63">
                  <c:v>63.174500350000002</c:v>
                </c:pt>
                <c:pt idx="64">
                  <c:v>63.238500299999998</c:v>
                </c:pt>
                <c:pt idx="65">
                  <c:v>63.297999999999988</c:v>
                </c:pt>
                <c:pt idx="66">
                  <c:v>63.442500150000001</c:v>
                </c:pt>
                <c:pt idx="67">
                  <c:v>63.624000049999992</c:v>
                </c:pt>
                <c:pt idx="68">
                  <c:v>63.930500100000003</c:v>
                </c:pt>
                <c:pt idx="69">
                  <c:v>64.111000099999998</c:v>
                </c:pt>
                <c:pt idx="70">
                  <c:v>64.445500250000009</c:v>
                </c:pt>
                <c:pt idx="71">
                  <c:v>64.70350040000001</c:v>
                </c:pt>
                <c:pt idx="72">
                  <c:v>65.163500200000001</c:v>
                </c:pt>
                <c:pt idx="73">
                  <c:v>65.587000250000003</c:v>
                </c:pt>
                <c:pt idx="74">
                  <c:v>65.965500250000005</c:v>
                </c:pt>
                <c:pt idx="75">
                  <c:v>66.288000499999995</c:v>
                </c:pt>
                <c:pt idx="76">
                  <c:v>66.662000500000005</c:v>
                </c:pt>
                <c:pt idx="77">
                  <c:v>67.166500500000012</c:v>
                </c:pt>
                <c:pt idx="78">
                  <c:v>67.536000449999989</c:v>
                </c:pt>
                <c:pt idx="79">
                  <c:v>68.054500399999995</c:v>
                </c:pt>
                <c:pt idx="80">
                  <c:v>68.500500500000001</c:v>
                </c:pt>
                <c:pt idx="81">
                  <c:v>68.9765005</c:v>
                </c:pt>
                <c:pt idx="82">
                  <c:v>69.508000549999991</c:v>
                </c:pt>
                <c:pt idx="83">
                  <c:v>69.922000499999996</c:v>
                </c:pt>
                <c:pt idx="84">
                  <c:v>70.325500500000004</c:v>
                </c:pt>
                <c:pt idx="85">
                  <c:v>70.686500600000002</c:v>
                </c:pt>
                <c:pt idx="86">
                  <c:v>71.172000549999979</c:v>
                </c:pt>
                <c:pt idx="87">
                  <c:v>71.483500699999993</c:v>
                </c:pt>
                <c:pt idx="88">
                  <c:v>71.562500799999995</c:v>
                </c:pt>
                <c:pt idx="89">
                  <c:v>71.818000850000004</c:v>
                </c:pt>
                <c:pt idx="90">
                  <c:v>71.901500749999997</c:v>
                </c:pt>
                <c:pt idx="91">
                  <c:v>71.960000650000012</c:v>
                </c:pt>
                <c:pt idx="92">
                  <c:v>71.938000950000003</c:v>
                </c:pt>
                <c:pt idx="93">
                  <c:v>72.056500700000001</c:v>
                </c:pt>
                <c:pt idx="94">
                  <c:v>72.419000699999998</c:v>
                </c:pt>
                <c:pt idx="95">
                  <c:v>72.782000449999984</c:v>
                </c:pt>
                <c:pt idx="96">
                  <c:v>73.092500399999992</c:v>
                </c:pt>
                <c:pt idx="97">
                  <c:v>73.297000600000004</c:v>
                </c:pt>
                <c:pt idx="98">
                  <c:v>73.484000500000008</c:v>
                </c:pt>
                <c:pt idx="99">
                  <c:v>73.619000349999993</c:v>
                </c:pt>
                <c:pt idx="100">
                  <c:v>73.695500249999995</c:v>
                </c:pt>
                <c:pt idx="101">
                  <c:v>73.723500150000007</c:v>
                </c:pt>
                <c:pt idx="102">
                  <c:v>73.679499950000007</c:v>
                </c:pt>
                <c:pt idx="103">
                  <c:v>73.693499900000006</c:v>
                </c:pt>
                <c:pt idx="104">
                  <c:v>73.672500000000014</c:v>
                </c:pt>
                <c:pt idx="105">
                  <c:v>73.694000000000017</c:v>
                </c:pt>
                <c:pt idx="106">
                  <c:v>73.620499949999996</c:v>
                </c:pt>
                <c:pt idx="107">
                  <c:v>73.688500000000019</c:v>
                </c:pt>
                <c:pt idx="108">
                  <c:v>73.687499750000015</c:v>
                </c:pt>
                <c:pt idx="109">
                  <c:v>73.546499750000009</c:v>
                </c:pt>
                <c:pt idx="110">
                  <c:v>73.278499699999998</c:v>
                </c:pt>
                <c:pt idx="111">
                  <c:v>73.24949964999999</c:v>
                </c:pt>
                <c:pt idx="112">
                  <c:v>73.33999949999999</c:v>
                </c:pt>
                <c:pt idx="113">
                  <c:v>73.207499799999979</c:v>
                </c:pt>
                <c:pt idx="114">
                  <c:v>72.974499599999973</c:v>
                </c:pt>
                <c:pt idx="115">
                  <c:v>72.755999799999984</c:v>
                </c:pt>
                <c:pt idx="116">
                  <c:v>72.545999949999995</c:v>
                </c:pt>
                <c:pt idx="117">
                  <c:v>72.362999799999997</c:v>
                </c:pt>
                <c:pt idx="118">
                  <c:v>72.285999750000002</c:v>
                </c:pt>
                <c:pt idx="119">
                  <c:v>72.198999850000021</c:v>
                </c:pt>
                <c:pt idx="120">
                  <c:v>72.134499850000012</c:v>
                </c:pt>
                <c:pt idx="121">
                  <c:v>72.128999800000003</c:v>
                </c:pt>
                <c:pt idx="122">
                  <c:v>72.09699980000002</c:v>
                </c:pt>
                <c:pt idx="123">
                  <c:v>72.019500000000008</c:v>
                </c:pt>
                <c:pt idx="124">
                  <c:v>72.016499700000011</c:v>
                </c:pt>
                <c:pt idx="125">
                  <c:v>72.1004997</c:v>
                </c:pt>
                <c:pt idx="126">
                  <c:v>72.039499599999999</c:v>
                </c:pt>
                <c:pt idx="127">
                  <c:v>71.944499499999992</c:v>
                </c:pt>
                <c:pt idx="128">
                  <c:v>72.063499749999991</c:v>
                </c:pt>
                <c:pt idx="129">
                  <c:v>72.26499969999999</c:v>
                </c:pt>
                <c:pt idx="130">
                  <c:v>72.590999549999992</c:v>
                </c:pt>
                <c:pt idx="131">
                  <c:v>72.615999549999998</c:v>
                </c:pt>
                <c:pt idx="132">
                  <c:v>72.603999650000006</c:v>
                </c:pt>
                <c:pt idx="133">
                  <c:v>72.663999500000003</c:v>
                </c:pt>
                <c:pt idx="134">
                  <c:v>72.732999750000005</c:v>
                </c:pt>
                <c:pt idx="135">
                  <c:v>72.687999700000006</c:v>
                </c:pt>
                <c:pt idx="136">
                  <c:v>72.726499500000017</c:v>
                </c:pt>
                <c:pt idx="137">
                  <c:v>72.595499750000016</c:v>
                </c:pt>
                <c:pt idx="138">
                  <c:v>72.510499899999999</c:v>
                </c:pt>
                <c:pt idx="139">
                  <c:v>72.418500050000006</c:v>
                </c:pt>
                <c:pt idx="140">
                  <c:v>72.319499850000014</c:v>
                </c:pt>
                <c:pt idx="141">
                  <c:v>72.149999900000012</c:v>
                </c:pt>
                <c:pt idx="142">
                  <c:v>72.153999999999996</c:v>
                </c:pt>
                <c:pt idx="143">
                  <c:v>72.101999950000007</c:v>
                </c:pt>
                <c:pt idx="144">
                  <c:v>71.924500199999997</c:v>
                </c:pt>
                <c:pt idx="145">
                  <c:v>71.690500200000002</c:v>
                </c:pt>
                <c:pt idx="146">
                  <c:v>71.661000400000006</c:v>
                </c:pt>
                <c:pt idx="147">
                  <c:v>71.754500550000003</c:v>
                </c:pt>
                <c:pt idx="148">
                  <c:v>71.840000500000002</c:v>
                </c:pt>
                <c:pt idx="149">
                  <c:v>71.895000399999986</c:v>
                </c:pt>
                <c:pt idx="150">
                  <c:v>71.998000649999994</c:v>
                </c:pt>
                <c:pt idx="151">
                  <c:v>72.281000799999987</c:v>
                </c:pt>
                <c:pt idx="152">
                  <c:v>72.535000549999978</c:v>
                </c:pt>
                <c:pt idx="153">
                  <c:v>73.046000649999996</c:v>
                </c:pt>
                <c:pt idx="154">
                  <c:v>73.41150055</c:v>
                </c:pt>
                <c:pt idx="155">
                  <c:v>73.913000499999995</c:v>
                </c:pt>
                <c:pt idx="156">
                  <c:v>74.281500650000012</c:v>
                </c:pt>
                <c:pt idx="157">
                  <c:v>74.839000350000006</c:v>
                </c:pt>
                <c:pt idx="158">
                  <c:v>75.317500350000003</c:v>
                </c:pt>
                <c:pt idx="159">
                  <c:v>75.902000099999995</c:v>
                </c:pt>
                <c:pt idx="160">
                  <c:v>76.5430001</c:v>
                </c:pt>
                <c:pt idx="161">
                  <c:v>77.326500349999989</c:v>
                </c:pt>
                <c:pt idx="162">
                  <c:v>77.955000349999992</c:v>
                </c:pt>
                <c:pt idx="163">
                  <c:v>78.654000549999992</c:v>
                </c:pt>
                <c:pt idx="164">
                  <c:v>79.421000349999986</c:v>
                </c:pt>
                <c:pt idx="165">
                  <c:v>80.27100034999998</c:v>
                </c:pt>
                <c:pt idx="166">
                  <c:v>80.960000299999976</c:v>
                </c:pt>
                <c:pt idx="167">
                  <c:v>81.641000049999974</c:v>
                </c:pt>
                <c:pt idx="168">
                  <c:v>82.250000099999994</c:v>
                </c:pt>
                <c:pt idx="169">
                  <c:v>82.844500100000005</c:v>
                </c:pt>
                <c:pt idx="170">
                  <c:v>83.289999900000012</c:v>
                </c:pt>
                <c:pt idx="171">
                  <c:v>83.568499899999992</c:v>
                </c:pt>
                <c:pt idx="172">
                  <c:v>83.821500150000006</c:v>
                </c:pt>
                <c:pt idx="173">
                  <c:v>83.83900005000001</c:v>
                </c:pt>
                <c:pt idx="174">
                  <c:v>84.014999849999995</c:v>
                </c:pt>
                <c:pt idx="175">
                  <c:v>84.140499949999992</c:v>
                </c:pt>
                <c:pt idx="176">
                  <c:v>84.22999999999999</c:v>
                </c:pt>
                <c:pt idx="177">
                  <c:v>84.320500249999995</c:v>
                </c:pt>
                <c:pt idx="178">
                  <c:v>84.525000450000007</c:v>
                </c:pt>
                <c:pt idx="179">
                  <c:v>84.670500649999994</c:v>
                </c:pt>
                <c:pt idx="180">
                  <c:v>84.845000900000002</c:v>
                </c:pt>
                <c:pt idx="181">
                  <c:v>84.862500849999989</c:v>
                </c:pt>
                <c:pt idx="182">
                  <c:v>84.805000750000005</c:v>
                </c:pt>
              </c:numCache>
            </c:numRef>
          </c:val>
          <c:smooth val="0"/>
          <c:extLst>
            <c:ext xmlns:c16="http://schemas.microsoft.com/office/drawing/2014/chart" uri="{C3380CC4-5D6E-409C-BE32-E72D297353CC}">
              <c16:uniqueId val="{00000002-028D-6247-AF63-C9FCDC694F9D}"/>
            </c:ext>
          </c:extLst>
        </c:ser>
        <c:dLbls>
          <c:showLegendKey val="0"/>
          <c:showVal val="0"/>
          <c:showCatName val="0"/>
          <c:showSerName val="0"/>
          <c:showPercent val="0"/>
          <c:showBubbleSize val="0"/>
        </c:dLbls>
        <c:smooth val="0"/>
        <c:axId val="821523344"/>
        <c:axId val="821539744"/>
      </c:lineChart>
      <c:dateAx>
        <c:axId val="821523344"/>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MX"/>
          </a:p>
        </c:txPr>
        <c:crossAx val="821539744"/>
        <c:crosses val="autoZero"/>
        <c:auto val="1"/>
        <c:lblOffset val="100"/>
        <c:baseTimeUnit val="days"/>
      </c:dateAx>
      <c:valAx>
        <c:axId val="821539744"/>
        <c:scaling>
          <c:orientation val="minMax"/>
          <c:max val="93"/>
          <c:min val="5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2152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Gráfico</a:t>
            </a:r>
            <a:r>
              <a:rPr lang="en-US" baseline="0"/>
              <a:t> d señales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X"/>
        </a:p>
      </c:txPr>
    </c:title>
    <c:autoTitleDeleted val="0"/>
    <c:plotArea>
      <c:layout/>
      <c:scatterChart>
        <c:scatterStyle val="smoothMarker"/>
        <c:varyColors val="0"/>
        <c:ser>
          <c:idx val="0"/>
          <c:order val="0"/>
          <c:tx>
            <c:strRef>
              <c:f>'BIMBOA.MX (2)'!$G$1</c:f>
              <c:strCache>
                <c:ptCount val="1"/>
                <c:pt idx="0">
                  <c:v>MMS(4)</c:v>
                </c:pt>
              </c:strCache>
            </c:strRef>
          </c:tx>
          <c:spPr>
            <a:ln w="19050" cap="rnd">
              <a:solidFill>
                <a:schemeClr val="accent1"/>
              </a:solidFill>
              <a:round/>
            </a:ln>
            <a:effectLst/>
          </c:spPr>
          <c:marker>
            <c:symbol val="none"/>
          </c:marker>
          <c:xVal>
            <c:numRef>
              <c:f>'BIMBOA.MX (2)'!$A$61:$A$254</c:f>
              <c:numCache>
                <c:formatCode>m/d/yy</c:formatCode>
                <c:ptCount val="194"/>
                <c:pt idx="0">
                  <c:v>44706</c:v>
                </c:pt>
                <c:pt idx="1">
                  <c:v>44707</c:v>
                </c:pt>
                <c:pt idx="2">
                  <c:v>44708</c:v>
                </c:pt>
                <c:pt idx="3">
                  <c:v>44711</c:v>
                </c:pt>
                <c:pt idx="4">
                  <c:v>44712</c:v>
                </c:pt>
                <c:pt idx="5">
                  <c:v>44713</c:v>
                </c:pt>
                <c:pt idx="6">
                  <c:v>44714</c:v>
                </c:pt>
                <c:pt idx="7">
                  <c:v>44715</c:v>
                </c:pt>
                <c:pt idx="8">
                  <c:v>44718</c:v>
                </c:pt>
                <c:pt idx="9">
                  <c:v>44719</c:v>
                </c:pt>
                <c:pt idx="10">
                  <c:v>44720</c:v>
                </c:pt>
                <c:pt idx="11">
                  <c:v>44721</c:v>
                </c:pt>
                <c:pt idx="12">
                  <c:v>44722</c:v>
                </c:pt>
                <c:pt idx="13">
                  <c:v>44725</c:v>
                </c:pt>
                <c:pt idx="14">
                  <c:v>44726</c:v>
                </c:pt>
                <c:pt idx="15">
                  <c:v>44727</c:v>
                </c:pt>
                <c:pt idx="16">
                  <c:v>44728</c:v>
                </c:pt>
                <c:pt idx="17">
                  <c:v>44729</c:v>
                </c:pt>
                <c:pt idx="18">
                  <c:v>44732</c:v>
                </c:pt>
                <c:pt idx="19">
                  <c:v>44733</c:v>
                </c:pt>
                <c:pt idx="20">
                  <c:v>44734</c:v>
                </c:pt>
                <c:pt idx="21">
                  <c:v>44735</c:v>
                </c:pt>
                <c:pt idx="22">
                  <c:v>44736</c:v>
                </c:pt>
                <c:pt idx="23">
                  <c:v>44739</c:v>
                </c:pt>
                <c:pt idx="24">
                  <c:v>44740</c:v>
                </c:pt>
                <c:pt idx="25">
                  <c:v>44741</c:v>
                </c:pt>
                <c:pt idx="26">
                  <c:v>44742</c:v>
                </c:pt>
                <c:pt idx="27">
                  <c:v>44743</c:v>
                </c:pt>
                <c:pt idx="28">
                  <c:v>44746</c:v>
                </c:pt>
                <c:pt idx="29">
                  <c:v>44747</c:v>
                </c:pt>
                <c:pt idx="30">
                  <c:v>44748</c:v>
                </c:pt>
                <c:pt idx="31">
                  <c:v>44749</c:v>
                </c:pt>
                <c:pt idx="32">
                  <c:v>44750</c:v>
                </c:pt>
                <c:pt idx="33">
                  <c:v>44753</c:v>
                </c:pt>
                <c:pt idx="34">
                  <c:v>44754</c:v>
                </c:pt>
                <c:pt idx="35">
                  <c:v>44755</c:v>
                </c:pt>
                <c:pt idx="36">
                  <c:v>44756</c:v>
                </c:pt>
                <c:pt idx="37">
                  <c:v>44757</c:v>
                </c:pt>
                <c:pt idx="38">
                  <c:v>44760</c:v>
                </c:pt>
                <c:pt idx="39">
                  <c:v>44761</c:v>
                </c:pt>
                <c:pt idx="40">
                  <c:v>44762</c:v>
                </c:pt>
                <c:pt idx="41">
                  <c:v>44763</c:v>
                </c:pt>
                <c:pt idx="42">
                  <c:v>44764</c:v>
                </c:pt>
                <c:pt idx="43">
                  <c:v>44767</c:v>
                </c:pt>
                <c:pt idx="44">
                  <c:v>44768</c:v>
                </c:pt>
                <c:pt idx="45">
                  <c:v>44769</c:v>
                </c:pt>
                <c:pt idx="46">
                  <c:v>44770</c:v>
                </c:pt>
                <c:pt idx="47">
                  <c:v>44771</c:v>
                </c:pt>
                <c:pt idx="48">
                  <c:v>44774</c:v>
                </c:pt>
                <c:pt idx="49">
                  <c:v>44775</c:v>
                </c:pt>
                <c:pt idx="50">
                  <c:v>44776</c:v>
                </c:pt>
                <c:pt idx="51">
                  <c:v>44777</c:v>
                </c:pt>
                <c:pt idx="52">
                  <c:v>44778</c:v>
                </c:pt>
                <c:pt idx="53">
                  <c:v>44781</c:v>
                </c:pt>
                <c:pt idx="54">
                  <c:v>44782</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44823</c:v>
                </c:pt>
                <c:pt idx="83">
                  <c:v>44824</c:v>
                </c:pt>
                <c:pt idx="84">
                  <c:v>44825</c:v>
                </c:pt>
                <c:pt idx="85">
                  <c:v>44826</c:v>
                </c:pt>
                <c:pt idx="86">
                  <c:v>44827</c:v>
                </c:pt>
                <c:pt idx="87">
                  <c:v>44830</c:v>
                </c:pt>
                <c:pt idx="88">
                  <c:v>44831</c:v>
                </c:pt>
                <c:pt idx="89">
                  <c:v>44832</c:v>
                </c:pt>
                <c:pt idx="90">
                  <c:v>44833</c:v>
                </c:pt>
                <c:pt idx="91">
                  <c:v>44834</c:v>
                </c:pt>
                <c:pt idx="92">
                  <c:v>44837</c:v>
                </c:pt>
                <c:pt idx="93">
                  <c:v>44838</c:v>
                </c:pt>
                <c:pt idx="94">
                  <c:v>44839</c:v>
                </c:pt>
                <c:pt idx="95">
                  <c:v>44840</c:v>
                </c:pt>
                <c:pt idx="96">
                  <c:v>44841</c:v>
                </c:pt>
                <c:pt idx="97">
                  <c:v>44844</c:v>
                </c:pt>
                <c:pt idx="98">
                  <c:v>44845</c:v>
                </c:pt>
                <c:pt idx="99">
                  <c:v>44846</c:v>
                </c:pt>
                <c:pt idx="100">
                  <c:v>44847</c:v>
                </c:pt>
                <c:pt idx="101">
                  <c:v>44848</c:v>
                </c:pt>
                <c:pt idx="102">
                  <c:v>44851</c:v>
                </c:pt>
                <c:pt idx="103">
                  <c:v>44852</c:v>
                </c:pt>
                <c:pt idx="104">
                  <c:v>44853</c:v>
                </c:pt>
                <c:pt idx="105">
                  <c:v>44854</c:v>
                </c:pt>
                <c:pt idx="106">
                  <c:v>44855</c:v>
                </c:pt>
                <c:pt idx="107">
                  <c:v>44858</c:v>
                </c:pt>
                <c:pt idx="108">
                  <c:v>44859</c:v>
                </c:pt>
                <c:pt idx="109">
                  <c:v>44860</c:v>
                </c:pt>
                <c:pt idx="110">
                  <c:v>44861</c:v>
                </c:pt>
                <c:pt idx="111">
                  <c:v>44862</c:v>
                </c:pt>
                <c:pt idx="112">
                  <c:v>44865</c:v>
                </c:pt>
                <c:pt idx="113">
                  <c:v>44866</c:v>
                </c:pt>
                <c:pt idx="114">
                  <c:v>44868</c:v>
                </c:pt>
                <c:pt idx="115">
                  <c:v>44869</c:v>
                </c:pt>
                <c:pt idx="116">
                  <c:v>44872</c:v>
                </c:pt>
                <c:pt idx="117">
                  <c:v>44873</c:v>
                </c:pt>
                <c:pt idx="118">
                  <c:v>44874</c:v>
                </c:pt>
                <c:pt idx="119">
                  <c:v>44875</c:v>
                </c:pt>
                <c:pt idx="120">
                  <c:v>44876</c:v>
                </c:pt>
                <c:pt idx="121">
                  <c:v>44879</c:v>
                </c:pt>
                <c:pt idx="122">
                  <c:v>44880</c:v>
                </c:pt>
                <c:pt idx="123">
                  <c:v>44881</c:v>
                </c:pt>
                <c:pt idx="124">
                  <c:v>44882</c:v>
                </c:pt>
                <c:pt idx="125">
                  <c:v>44883</c:v>
                </c:pt>
                <c:pt idx="126">
                  <c:v>44887</c:v>
                </c:pt>
                <c:pt idx="127">
                  <c:v>44888</c:v>
                </c:pt>
                <c:pt idx="128">
                  <c:v>44889</c:v>
                </c:pt>
                <c:pt idx="129">
                  <c:v>44890</c:v>
                </c:pt>
                <c:pt idx="130">
                  <c:v>44893</c:v>
                </c:pt>
                <c:pt idx="131">
                  <c:v>44894</c:v>
                </c:pt>
                <c:pt idx="132">
                  <c:v>44895</c:v>
                </c:pt>
                <c:pt idx="133">
                  <c:v>44896</c:v>
                </c:pt>
                <c:pt idx="134">
                  <c:v>44897</c:v>
                </c:pt>
                <c:pt idx="135">
                  <c:v>44900</c:v>
                </c:pt>
                <c:pt idx="136">
                  <c:v>44901</c:v>
                </c:pt>
                <c:pt idx="137">
                  <c:v>44902</c:v>
                </c:pt>
                <c:pt idx="138">
                  <c:v>44903</c:v>
                </c:pt>
                <c:pt idx="139">
                  <c:v>44904</c:v>
                </c:pt>
                <c:pt idx="140">
                  <c:v>44908</c:v>
                </c:pt>
                <c:pt idx="141">
                  <c:v>44909</c:v>
                </c:pt>
                <c:pt idx="142">
                  <c:v>44910</c:v>
                </c:pt>
                <c:pt idx="143">
                  <c:v>44911</c:v>
                </c:pt>
                <c:pt idx="144">
                  <c:v>44914</c:v>
                </c:pt>
                <c:pt idx="145">
                  <c:v>44915</c:v>
                </c:pt>
                <c:pt idx="146">
                  <c:v>44916</c:v>
                </c:pt>
                <c:pt idx="147">
                  <c:v>44917</c:v>
                </c:pt>
                <c:pt idx="148">
                  <c:v>44918</c:v>
                </c:pt>
                <c:pt idx="149">
                  <c:v>44921</c:v>
                </c:pt>
                <c:pt idx="150">
                  <c:v>44922</c:v>
                </c:pt>
                <c:pt idx="151">
                  <c:v>44923</c:v>
                </c:pt>
                <c:pt idx="152">
                  <c:v>44924</c:v>
                </c:pt>
                <c:pt idx="153">
                  <c:v>44925</c:v>
                </c:pt>
                <c:pt idx="154">
                  <c:v>44928</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44964</c:v>
                </c:pt>
                <c:pt idx="180">
                  <c:v>44965</c:v>
                </c:pt>
                <c:pt idx="181">
                  <c:v>44966</c:v>
                </c:pt>
                <c:pt idx="182">
                  <c:v>44967</c:v>
                </c:pt>
                <c:pt idx="183">
                  <c:v>44970</c:v>
                </c:pt>
                <c:pt idx="184">
                  <c:v>44971</c:v>
                </c:pt>
                <c:pt idx="185">
                  <c:v>44972</c:v>
                </c:pt>
                <c:pt idx="186">
                  <c:v>44973</c:v>
                </c:pt>
                <c:pt idx="187">
                  <c:v>44974</c:v>
                </c:pt>
                <c:pt idx="188">
                  <c:v>44977</c:v>
                </c:pt>
                <c:pt idx="189">
                  <c:v>44978</c:v>
                </c:pt>
                <c:pt idx="190">
                  <c:v>44979</c:v>
                </c:pt>
                <c:pt idx="191">
                  <c:v>44980</c:v>
                </c:pt>
                <c:pt idx="192">
                  <c:v>44981</c:v>
                </c:pt>
                <c:pt idx="193">
                  <c:v>44984</c:v>
                </c:pt>
              </c:numCache>
            </c:numRef>
          </c:xVal>
          <c:yVal>
            <c:numRef>
              <c:f>'BIMBOA.MX (2)'!$G$61:$G$254</c:f>
              <c:numCache>
                <c:formatCode>General</c:formatCode>
                <c:ptCount val="194"/>
                <c:pt idx="0">
                  <c:v>58.482499749999995</c:v>
                </c:pt>
                <c:pt idx="1">
                  <c:v>59.329999749999999</c:v>
                </c:pt>
                <c:pt idx="2">
                  <c:v>60.059999499999996</c:v>
                </c:pt>
                <c:pt idx="3">
                  <c:v>60.807499999999997</c:v>
                </c:pt>
                <c:pt idx="4">
                  <c:v>62.102499999999999</c:v>
                </c:pt>
                <c:pt idx="5">
                  <c:v>62.977501000000004</c:v>
                </c:pt>
                <c:pt idx="6">
                  <c:v>63.237501250000001</c:v>
                </c:pt>
                <c:pt idx="7">
                  <c:v>63.510001249999995</c:v>
                </c:pt>
                <c:pt idx="8">
                  <c:v>63.190000750000003</c:v>
                </c:pt>
                <c:pt idx="9">
                  <c:v>62.917499749999998</c:v>
                </c:pt>
                <c:pt idx="10">
                  <c:v>63.102499999999999</c:v>
                </c:pt>
                <c:pt idx="11">
                  <c:v>63.687499250000002</c:v>
                </c:pt>
                <c:pt idx="12">
                  <c:v>63.177500000000002</c:v>
                </c:pt>
                <c:pt idx="13">
                  <c:v>62.857500250000001</c:v>
                </c:pt>
                <c:pt idx="14">
                  <c:v>62.232500250000001</c:v>
                </c:pt>
                <c:pt idx="15">
                  <c:v>61.752500499999996</c:v>
                </c:pt>
                <c:pt idx="16">
                  <c:v>62.060000250000002</c:v>
                </c:pt>
                <c:pt idx="17">
                  <c:v>62.114999499999996</c:v>
                </c:pt>
                <c:pt idx="18">
                  <c:v>62.962499499999993</c:v>
                </c:pt>
                <c:pt idx="19">
                  <c:v>62.737500249999997</c:v>
                </c:pt>
                <c:pt idx="20">
                  <c:v>62.952500499999999</c:v>
                </c:pt>
                <c:pt idx="21">
                  <c:v>63.195000999999998</c:v>
                </c:pt>
                <c:pt idx="22">
                  <c:v>63.120000999999995</c:v>
                </c:pt>
                <c:pt idx="23">
                  <c:v>64.185000500000001</c:v>
                </c:pt>
                <c:pt idx="24">
                  <c:v>64.8125</c:v>
                </c:pt>
                <c:pt idx="25">
                  <c:v>65.404999500000002</c:v>
                </c:pt>
                <c:pt idx="26">
                  <c:v>65.794999999999987</c:v>
                </c:pt>
                <c:pt idx="27">
                  <c:v>65.757499749999994</c:v>
                </c:pt>
                <c:pt idx="28">
                  <c:v>66.649999749999992</c:v>
                </c:pt>
                <c:pt idx="29">
                  <c:v>66.982500250000001</c:v>
                </c:pt>
                <c:pt idx="30">
                  <c:v>68.117500500000006</c:v>
                </c:pt>
                <c:pt idx="31">
                  <c:v>69.085001000000005</c:v>
                </c:pt>
                <c:pt idx="32">
                  <c:v>69.3425005</c:v>
                </c:pt>
                <c:pt idx="33">
                  <c:v>70.237501000000009</c:v>
                </c:pt>
                <c:pt idx="34">
                  <c:v>69.83250025000001</c:v>
                </c:pt>
                <c:pt idx="35">
                  <c:v>69.675001000000009</c:v>
                </c:pt>
                <c:pt idx="36">
                  <c:v>69.552501750000005</c:v>
                </c:pt>
                <c:pt idx="37">
                  <c:v>70.012500750000015</c:v>
                </c:pt>
                <c:pt idx="38">
                  <c:v>70.815000499999996</c:v>
                </c:pt>
                <c:pt idx="39">
                  <c:v>71.569999749999994</c:v>
                </c:pt>
                <c:pt idx="40">
                  <c:v>72.145000499999995</c:v>
                </c:pt>
                <c:pt idx="41">
                  <c:v>72.245001000000002</c:v>
                </c:pt>
                <c:pt idx="42">
                  <c:v>72.9800015</c:v>
                </c:pt>
                <c:pt idx="43">
                  <c:v>73.522501000000005</c:v>
                </c:pt>
                <c:pt idx="44">
                  <c:v>73.9375</c:v>
                </c:pt>
                <c:pt idx="45">
                  <c:v>73.954999999999998</c:v>
                </c:pt>
                <c:pt idx="46">
                  <c:v>74.114999999999995</c:v>
                </c:pt>
                <c:pt idx="47">
                  <c:v>73.565000749999996</c:v>
                </c:pt>
                <c:pt idx="48">
                  <c:v>72.835001250000005</c:v>
                </c:pt>
                <c:pt idx="49">
                  <c:v>72.640001499999997</c:v>
                </c:pt>
                <c:pt idx="50">
                  <c:v>71.765001499999997</c:v>
                </c:pt>
                <c:pt idx="51">
                  <c:v>71.467500749999999</c:v>
                </c:pt>
                <c:pt idx="52">
                  <c:v>71.220001249999996</c:v>
                </c:pt>
                <c:pt idx="53">
                  <c:v>71.430000250000006</c:v>
                </c:pt>
                <c:pt idx="54">
                  <c:v>72.42</c:v>
                </c:pt>
                <c:pt idx="55">
                  <c:v>73.785000000000011</c:v>
                </c:pt>
                <c:pt idx="56">
                  <c:v>75.324999000000005</c:v>
                </c:pt>
                <c:pt idx="57">
                  <c:v>76.215000250000003</c:v>
                </c:pt>
                <c:pt idx="58">
                  <c:v>76.139999500000002</c:v>
                </c:pt>
                <c:pt idx="59">
                  <c:v>75.754999249999997</c:v>
                </c:pt>
                <c:pt idx="60">
                  <c:v>75.159999749999997</c:v>
                </c:pt>
                <c:pt idx="61">
                  <c:v>74.377498750000001</c:v>
                </c:pt>
                <c:pt idx="62">
                  <c:v>73.957498749999999</c:v>
                </c:pt>
                <c:pt idx="63">
                  <c:v>73.894998749999999</c:v>
                </c:pt>
                <c:pt idx="64">
                  <c:v>73.822498749999994</c:v>
                </c:pt>
                <c:pt idx="65">
                  <c:v>73.807499250000006</c:v>
                </c:pt>
                <c:pt idx="66">
                  <c:v>73.820000000000007</c:v>
                </c:pt>
                <c:pt idx="67">
                  <c:v>73.540001249999989</c:v>
                </c:pt>
                <c:pt idx="68">
                  <c:v>72.91</c:v>
                </c:pt>
                <c:pt idx="69">
                  <c:v>71.902500250000003</c:v>
                </c:pt>
                <c:pt idx="70">
                  <c:v>70.055000250000006</c:v>
                </c:pt>
                <c:pt idx="71">
                  <c:v>69.272498999999996</c:v>
                </c:pt>
                <c:pt idx="72">
                  <c:v>69.482499999999987</c:v>
                </c:pt>
                <c:pt idx="73">
                  <c:v>69.735000499999998</c:v>
                </c:pt>
                <c:pt idx="74">
                  <c:v>70.899999500000007</c:v>
                </c:pt>
                <c:pt idx="75">
                  <c:v>71.317500749999994</c:v>
                </c:pt>
                <c:pt idx="76">
                  <c:v>71.355001250000001</c:v>
                </c:pt>
                <c:pt idx="77">
                  <c:v>71.992500250000006</c:v>
                </c:pt>
                <c:pt idx="78">
                  <c:v>72.69750024999999</c:v>
                </c:pt>
                <c:pt idx="79">
                  <c:v>72.9699995</c:v>
                </c:pt>
                <c:pt idx="80">
                  <c:v>73.102499249999994</c:v>
                </c:pt>
                <c:pt idx="81">
                  <c:v>73.207498749999999</c:v>
                </c:pt>
                <c:pt idx="82">
                  <c:v>73.012499000000005</c:v>
                </c:pt>
                <c:pt idx="83">
                  <c:v>72.997499500000004</c:v>
                </c:pt>
                <c:pt idx="84">
                  <c:v>73.232498000000007</c:v>
                </c:pt>
                <c:pt idx="85">
                  <c:v>73.664998749999995</c:v>
                </c:pt>
                <c:pt idx="86">
                  <c:v>73.532499000000001</c:v>
                </c:pt>
                <c:pt idx="87">
                  <c:v>73.164998749999995</c:v>
                </c:pt>
                <c:pt idx="88">
                  <c:v>73.145000249999995</c:v>
                </c:pt>
                <c:pt idx="89">
                  <c:v>72.725000249999994</c:v>
                </c:pt>
                <c:pt idx="90">
                  <c:v>72.8125</c:v>
                </c:pt>
                <c:pt idx="91">
                  <c:v>72.629999249999997</c:v>
                </c:pt>
                <c:pt idx="92">
                  <c:v>72.184999500000004</c:v>
                </c:pt>
                <c:pt idx="93">
                  <c:v>71.729999500000005</c:v>
                </c:pt>
                <c:pt idx="94">
                  <c:v>71.610000499999998</c:v>
                </c:pt>
                <c:pt idx="95">
                  <c:v>71.677501500000005</c:v>
                </c:pt>
                <c:pt idx="96">
                  <c:v>71.9675005</c:v>
                </c:pt>
                <c:pt idx="97">
                  <c:v>71.650001500000002</c:v>
                </c:pt>
                <c:pt idx="98">
                  <c:v>71.585001000000005</c:v>
                </c:pt>
                <c:pt idx="99">
                  <c:v>71.622501249999999</c:v>
                </c:pt>
                <c:pt idx="100">
                  <c:v>71.067501000000007</c:v>
                </c:pt>
                <c:pt idx="101">
                  <c:v>70.979999500000005</c:v>
                </c:pt>
                <c:pt idx="102">
                  <c:v>71.229999500000005</c:v>
                </c:pt>
                <c:pt idx="103">
                  <c:v>71.414998999999995</c:v>
                </c:pt>
                <c:pt idx="104">
                  <c:v>71.257499750000008</c:v>
                </c:pt>
                <c:pt idx="105">
                  <c:v>71.367500250000006</c:v>
                </c:pt>
                <c:pt idx="106">
                  <c:v>71.067501000000007</c:v>
                </c:pt>
                <c:pt idx="107">
                  <c:v>71.427501750000005</c:v>
                </c:pt>
                <c:pt idx="108">
                  <c:v>72.722501749999992</c:v>
                </c:pt>
                <c:pt idx="109">
                  <c:v>73.747501249999999</c:v>
                </c:pt>
                <c:pt idx="110">
                  <c:v>74.497501249999999</c:v>
                </c:pt>
                <c:pt idx="111">
                  <c:v>75.262500500000002</c:v>
                </c:pt>
                <c:pt idx="112">
                  <c:v>75.659999749999997</c:v>
                </c:pt>
                <c:pt idx="113">
                  <c:v>77.485000750000012</c:v>
                </c:pt>
                <c:pt idx="114">
                  <c:v>78.677500000000009</c:v>
                </c:pt>
                <c:pt idx="115">
                  <c:v>79.837499999999991</c:v>
                </c:pt>
                <c:pt idx="116">
                  <c:v>80.700001</c:v>
                </c:pt>
                <c:pt idx="117">
                  <c:v>80.614999999999995</c:v>
                </c:pt>
                <c:pt idx="118">
                  <c:v>81.114999999999995</c:v>
                </c:pt>
                <c:pt idx="119">
                  <c:v>81.567499249999997</c:v>
                </c:pt>
                <c:pt idx="120">
                  <c:v>82.374998250000004</c:v>
                </c:pt>
                <c:pt idx="121">
                  <c:v>83.417499500000005</c:v>
                </c:pt>
                <c:pt idx="122">
                  <c:v>84.417499500000005</c:v>
                </c:pt>
                <c:pt idx="123">
                  <c:v>85.175001249999994</c:v>
                </c:pt>
                <c:pt idx="124">
                  <c:v>85.647501000000005</c:v>
                </c:pt>
                <c:pt idx="125">
                  <c:v>86.090000250000003</c:v>
                </c:pt>
                <c:pt idx="126">
                  <c:v>86.092500749999999</c:v>
                </c:pt>
                <c:pt idx="127">
                  <c:v>86.362499249999999</c:v>
                </c:pt>
                <c:pt idx="128">
                  <c:v>86.867500500000006</c:v>
                </c:pt>
                <c:pt idx="129">
                  <c:v>86.615000000000009</c:v>
                </c:pt>
                <c:pt idx="130">
                  <c:v>86.147499249999996</c:v>
                </c:pt>
                <c:pt idx="131">
                  <c:v>84.899999749999992</c:v>
                </c:pt>
                <c:pt idx="132">
                  <c:v>83.517499999999998</c:v>
                </c:pt>
                <c:pt idx="133">
                  <c:v>82.457500499999995</c:v>
                </c:pt>
                <c:pt idx="134">
                  <c:v>82.302499749999996</c:v>
                </c:pt>
                <c:pt idx="135">
                  <c:v>82.69750024999999</c:v>
                </c:pt>
                <c:pt idx="136">
                  <c:v>82.742500249999992</c:v>
                </c:pt>
                <c:pt idx="137">
                  <c:v>83.022501000000005</c:v>
                </c:pt>
                <c:pt idx="138">
                  <c:v>83.665002999999999</c:v>
                </c:pt>
                <c:pt idx="139">
                  <c:v>84.217502750000008</c:v>
                </c:pt>
                <c:pt idx="140">
                  <c:v>85.45000275000001</c:v>
                </c:pt>
                <c:pt idx="141">
                  <c:v>86.127502499999991</c:v>
                </c:pt>
                <c:pt idx="142">
                  <c:v>85.817501000000007</c:v>
                </c:pt>
                <c:pt idx="143">
                  <c:v>85.690000499999996</c:v>
                </c:pt>
                <c:pt idx="144">
                  <c:v>85.565000499999996</c:v>
                </c:pt>
                <c:pt idx="145">
                  <c:v>85.485000499999998</c:v>
                </c:pt>
                <c:pt idx="146">
                  <c:v>86.01000024999999</c:v>
                </c:pt>
                <c:pt idx="147">
                  <c:v>86.107500000000002</c:v>
                </c:pt>
                <c:pt idx="148">
                  <c:v>86.009998249999995</c:v>
                </c:pt>
                <c:pt idx="149">
                  <c:v>86.004997250000002</c:v>
                </c:pt>
                <c:pt idx="150">
                  <c:v>86.059997500000009</c:v>
                </c:pt>
                <c:pt idx="151">
                  <c:v>86.044998250000006</c:v>
                </c:pt>
                <c:pt idx="152">
                  <c:v>85.552499999999995</c:v>
                </c:pt>
                <c:pt idx="153">
                  <c:v>84.692501250000007</c:v>
                </c:pt>
                <c:pt idx="154">
                  <c:v>84.17000225000001</c:v>
                </c:pt>
                <c:pt idx="155">
                  <c:v>83.895002500000004</c:v>
                </c:pt>
                <c:pt idx="156">
                  <c:v>84.337501500000002</c:v>
                </c:pt>
                <c:pt idx="157">
                  <c:v>85.682500750000003</c:v>
                </c:pt>
                <c:pt idx="158">
                  <c:v>86.550001000000009</c:v>
                </c:pt>
                <c:pt idx="159">
                  <c:v>88.045000000000002</c:v>
                </c:pt>
                <c:pt idx="160">
                  <c:v>89.147501000000005</c:v>
                </c:pt>
                <c:pt idx="161">
                  <c:v>89.840000250000003</c:v>
                </c:pt>
                <c:pt idx="162">
                  <c:v>90.66</c:v>
                </c:pt>
                <c:pt idx="163">
                  <c:v>90.845001249999996</c:v>
                </c:pt>
                <c:pt idx="164">
                  <c:v>91.430000249999992</c:v>
                </c:pt>
                <c:pt idx="165">
                  <c:v>91.782501249999996</c:v>
                </c:pt>
                <c:pt idx="166">
                  <c:v>91.882501500000004</c:v>
                </c:pt>
                <c:pt idx="167">
                  <c:v>92.147501000000005</c:v>
                </c:pt>
                <c:pt idx="168">
                  <c:v>91.987501250000008</c:v>
                </c:pt>
                <c:pt idx="169">
                  <c:v>92.775001500000002</c:v>
                </c:pt>
                <c:pt idx="170">
                  <c:v>93.787500249999994</c:v>
                </c:pt>
                <c:pt idx="171">
                  <c:v>94.662500250000008</c:v>
                </c:pt>
                <c:pt idx="172">
                  <c:v>95.55249975000001</c:v>
                </c:pt>
                <c:pt idx="173">
                  <c:v>95.377498750000001</c:v>
                </c:pt>
                <c:pt idx="174">
                  <c:v>94.959999249999996</c:v>
                </c:pt>
                <c:pt idx="175">
                  <c:v>94.384998499999995</c:v>
                </c:pt>
                <c:pt idx="176">
                  <c:v>94.009998500000009</c:v>
                </c:pt>
                <c:pt idx="177">
                  <c:v>93.682499000000007</c:v>
                </c:pt>
                <c:pt idx="178">
                  <c:v>93.544998249999992</c:v>
                </c:pt>
                <c:pt idx="179">
                  <c:v>92.974998499999998</c:v>
                </c:pt>
                <c:pt idx="180">
                  <c:v>92.1449985</c:v>
                </c:pt>
                <c:pt idx="181">
                  <c:v>91.459998999999996</c:v>
                </c:pt>
                <c:pt idx="182">
                  <c:v>90.319999749999994</c:v>
                </c:pt>
                <c:pt idx="183">
                  <c:v>89.924999249999999</c:v>
                </c:pt>
                <c:pt idx="184">
                  <c:v>89.412500249999994</c:v>
                </c:pt>
                <c:pt idx="185">
                  <c:v>89.242500249999992</c:v>
                </c:pt>
                <c:pt idx="186">
                  <c:v>89.200000749999987</c:v>
                </c:pt>
                <c:pt idx="187">
                  <c:v>88.640001249999997</c:v>
                </c:pt>
                <c:pt idx="188">
                  <c:v>88.6675015</c:v>
                </c:pt>
                <c:pt idx="189">
                  <c:v>88.212501500000002</c:v>
                </c:pt>
                <c:pt idx="190">
                  <c:v>87.660001499999993</c:v>
                </c:pt>
                <c:pt idx="191">
                  <c:v>87.610002249999994</c:v>
                </c:pt>
                <c:pt idx="192">
                  <c:v>87.46750225000001</c:v>
                </c:pt>
                <c:pt idx="193">
                  <c:v>87.842502249999995</c:v>
                </c:pt>
              </c:numCache>
            </c:numRef>
          </c:yVal>
          <c:smooth val="1"/>
          <c:extLst>
            <c:ext xmlns:c16="http://schemas.microsoft.com/office/drawing/2014/chart" uri="{C3380CC4-5D6E-409C-BE32-E72D297353CC}">
              <c16:uniqueId val="{00000000-F781-4E54-9920-8F05C961196A}"/>
            </c:ext>
          </c:extLst>
        </c:ser>
        <c:ser>
          <c:idx val="1"/>
          <c:order val="1"/>
          <c:tx>
            <c:strRef>
              <c:f>'BIMBOA.MX (2)'!$F$1</c:f>
              <c:strCache>
                <c:ptCount val="1"/>
                <c:pt idx="0">
                  <c:v>MMS(30)</c:v>
                </c:pt>
              </c:strCache>
            </c:strRef>
          </c:tx>
          <c:spPr>
            <a:ln w="19050" cap="rnd">
              <a:solidFill>
                <a:schemeClr val="accent2"/>
              </a:solidFill>
              <a:round/>
            </a:ln>
            <a:effectLst/>
          </c:spPr>
          <c:marker>
            <c:symbol val="none"/>
          </c:marker>
          <c:xVal>
            <c:numRef>
              <c:f>'BIMBOA.MX (2)'!$A$61:$A$254</c:f>
              <c:numCache>
                <c:formatCode>m/d/yy</c:formatCode>
                <c:ptCount val="194"/>
                <c:pt idx="0">
                  <c:v>44706</c:v>
                </c:pt>
                <c:pt idx="1">
                  <c:v>44707</c:v>
                </c:pt>
                <c:pt idx="2">
                  <c:v>44708</c:v>
                </c:pt>
                <c:pt idx="3">
                  <c:v>44711</c:v>
                </c:pt>
                <c:pt idx="4">
                  <c:v>44712</c:v>
                </c:pt>
                <c:pt idx="5">
                  <c:v>44713</c:v>
                </c:pt>
                <c:pt idx="6">
                  <c:v>44714</c:v>
                </c:pt>
                <c:pt idx="7">
                  <c:v>44715</c:v>
                </c:pt>
                <c:pt idx="8">
                  <c:v>44718</c:v>
                </c:pt>
                <c:pt idx="9">
                  <c:v>44719</c:v>
                </c:pt>
                <c:pt idx="10">
                  <c:v>44720</c:v>
                </c:pt>
                <c:pt idx="11">
                  <c:v>44721</c:v>
                </c:pt>
                <c:pt idx="12">
                  <c:v>44722</c:v>
                </c:pt>
                <c:pt idx="13">
                  <c:v>44725</c:v>
                </c:pt>
                <c:pt idx="14">
                  <c:v>44726</c:v>
                </c:pt>
                <c:pt idx="15">
                  <c:v>44727</c:v>
                </c:pt>
                <c:pt idx="16">
                  <c:v>44728</c:v>
                </c:pt>
                <c:pt idx="17">
                  <c:v>44729</c:v>
                </c:pt>
                <c:pt idx="18">
                  <c:v>44732</c:v>
                </c:pt>
                <c:pt idx="19">
                  <c:v>44733</c:v>
                </c:pt>
                <c:pt idx="20">
                  <c:v>44734</c:v>
                </c:pt>
                <c:pt idx="21">
                  <c:v>44735</c:v>
                </c:pt>
                <c:pt idx="22">
                  <c:v>44736</c:v>
                </c:pt>
                <c:pt idx="23">
                  <c:v>44739</c:v>
                </c:pt>
                <c:pt idx="24">
                  <c:v>44740</c:v>
                </c:pt>
                <c:pt idx="25">
                  <c:v>44741</c:v>
                </c:pt>
                <c:pt idx="26">
                  <c:v>44742</c:v>
                </c:pt>
                <c:pt idx="27">
                  <c:v>44743</c:v>
                </c:pt>
                <c:pt idx="28">
                  <c:v>44746</c:v>
                </c:pt>
                <c:pt idx="29">
                  <c:v>44747</c:v>
                </c:pt>
                <c:pt idx="30">
                  <c:v>44748</c:v>
                </c:pt>
                <c:pt idx="31">
                  <c:v>44749</c:v>
                </c:pt>
                <c:pt idx="32">
                  <c:v>44750</c:v>
                </c:pt>
                <c:pt idx="33">
                  <c:v>44753</c:v>
                </c:pt>
                <c:pt idx="34">
                  <c:v>44754</c:v>
                </c:pt>
                <c:pt idx="35">
                  <c:v>44755</c:v>
                </c:pt>
                <c:pt idx="36">
                  <c:v>44756</c:v>
                </c:pt>
                <c:pt idx="37">
                  <c:v>44757</c:v>
                </c:pt>
                <c:pt idx="38">
                  <c:v>44760</c:v>
                </c:pt>
                <c:pt idx="39">
                  <c:v>44761</c:v>
                </c:pt>
                <c:pt idx="40">
                  <c:v>44762</c:v>
                </c:pt>
                <c:pt idx="41">
                  <c:v>44763</c:v>
                </c:pt>
                <c:pt idx="42">
                  <c:v>44764</c:v>
                </c:pt>
                <c:pt idx="43">
                  <c:v>44767</c:v>
                </c:pt>
                <c:pt idx="44">
                  <c:v>44768</c:v>
                </c:pt>
                <c:pt idx="45">
                  <c:v>44769</c:v>
                </c:pt>
                <c:pt idx="46">
                  <c:v>44770</c:v>
                </c:pt>
                <c:pt idx="47">
                  <c:v>44771</c:v>
                </c:pt>
                <c:pt idx="48">
                  <c:v>44774</c:v>
                </c:pt>
                <c:pt idx="49">
                  <c:v>44775</c:v>
                </c:pt>
                <c:pt idx="50">
                  <c:v>44776</c:v>
                </c:pt>
                <c:pt idx="51">
                  <c:v>44777</c:v>
                </c:pt>
                <c:pt idx="52">
                  <c:v>44778</c:v>
                </c:pt>
                <c:pt idx="53">
                  <c:v>44781</c:v>
                </c:pt>
                <c:pt idx="54">
                  <c:v>44782</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44823</c:v>
                </c:pt>
                <c:pt idx="83">
                  <c:v>44824</c:v>
                </c:pt>
                <c:pt idx="84">
                  <c:v>44825</c:v>
                </c:pt>
                <c:pt idx="85">
                  <c:v>44826</c:v>
                </c:pt>
                <c:pt idx="86">
                  <c:v>44827</c:v>
                </c:pt>
                <c:pt idx="87">
                  <c:v>44830</c:v>
                </c:pt>
                <c:pt idx="88">
                  <c:v>44831</c:v>
                </c:pt>
                <c:pt idx="89">
                  <c:v>44832</c:v>
                </c:pt>
                <c:pt idx="90">
                  <c:v>44833</c:v>
                </c:pt>
                <c:pt idx="91">
                  <c:v>44834</c:v>
                </c:pt>
                <c:pt idx="92">
                  <c:v>44837</c:v>
                </c:pt>
                <c:pt idx="93">
                  <c:v>44838</c:v>
                </c:pt>
                <c:pt idx="94">
                  <c:v>44839</c:v>
                </c:pt>
                <c:pt idx="95">
                  <c:v>44840</c:v>
                </c:pt>
                <c:pt idx="96">
                  <c:v>44841</c:v>
                </c:pt>
                <c:pt idx="97">
                  <c:v>44844</c:v>
                </c:pt>
                <c:pt idx="98">
                  <c:v>44845</c:v>
                </c:pt>
                <c:pt idx="99">
                  <c:v>44846</c:v>
                </c:pt>
                <c:pt idx="100">
                  <c:v>44847</c:v>
                </c:pt>
                <c:pt idx="101">
                  <c:v>44848</c:v>
                </c:pt>
                <c:pt idx="102">
                  <c:v>44851</c:v>
                </c:pt>
                <c:pt idx="103">
                  <c:v>44852</c:v>
                </c:pt>
                <c:pt idx="104">
                  <c:v>44853</c:v>
                </c:pt>
                <c:pt idx="105">
                  <c:v>44854</c:v>
                </c:pt>
                <c:pt idx="106">
                  <c:v>44855</c:v>
                </c:pt>
                <c:pt idx="107">
                  <c:v>44858</c:v>
                </c:pt>
                <c:pt idx="108">
                  <c:v>44859</c:v>
                </c:pt>
                <c:pt idx="109">
                  <c:v>44860</c:v>
                </c:pt>
                <c:pt idx="110">
                  <c:v>44861</c:v>
                </c:pt>
                <c:pt idx="111">
                  <c:v>44862</c:v>
                </c:pt>
                <c:pt idx="112">
                  <c:v>44865</c:v>
                </c:pt>
                <c:pt idx="113">
                  <c:v>44866</c:v>
                </c:pt>
                <c:pt idx="114">
                  <c:v>44868</c:v>
                </c:pt>
                <c:pt idx="115">
                  <c:v>44869</c:v>
                </c:pt>
                <c:pt idx="116">
                  <c:v>44872</c:v>
                </c:pt>
                <c:pt idx="117">
                  <c:v>44873</c:v>
                </c:pt>
                <c:pt idx="118">
                  <c:v>44874</c:v>
                </c:pt>
                <c:pt idx="119">
                  <c:v>44875</c:v>
                </c:pt>
                <c:pt idx="120">
                  <c:v>44876</c:v>
                </c:pt>
                <c:pt idx="121">
                  <c:v>44879</c:v>
                </c:pt>
                <c:pt idx="122">
                  <c:v>44880</c:v>
                </c:pt>
                <c:pt idx="123">
                  <c:v>44881</c:v>
                </c:pt>
                <c:pt idx="124">
                  <c:v>44882</c:v>
                </c:pt>
                <c:pt idx="125">
                  <c:v>44883</c:v>
                </c:pt>
                <c:pt idx="126">
                  <c:v>44887</c:v>
                </c:pt>
                <c:pt idx="127">
                  <c:v>44888</c:v>
                </c:pt>
                <c:pt idx="128">
                  <c:v>44889</c:v>
                </c:pt>
                <c:pt idx="129">
                  <c:v>44890</c:v>
                </c:pt>
                <c:pt idx="130">
                  <c:v>44893</c:v>
                </c:pt>
                <c:pt idx="131">
                  <c:v>44894</c:v>
                </c:pt>
                <c:pt idx="132">
                  <c:v>44895</c:v>
                </c:pt>
                <c:pt idx="133">
                  <c:v>44896</c:v>
                </c:pt>
                <c:pt idx="134">
                  <c:v>44897</c:v>
                </c:pt>
                <c:pt idx="135">
                  <c:v>44900</c:v>
                </c:pt>
                <c:pt idx="136">
                  <c:v>44901</c:v>
                </c:pt>
                <c:pt idx="137">
                  <c:v>44902</c:v>
                </c:pt>
                <c:pt idx="138">
                  <c:v>44903</c:v>
                </c:pt>
                <c:pt idx="139">
                  <c:v>44904</c:v>
                </c:pt>
                <c:pt idx="140">
                  <c:v>44908</c:v>
                </c:pt>
                <c:pt idx="141">
                  <c:v>44909</c:v>
                </c:pt>
                <c:pt idx="142">
                  <c:v>44910</c:v>
                </c:pt>
                <c:pt idx="143">
                  <c:v>44911</c:v>
                </c:pt>
                <c:pt idx="144">
                  <c:v>44914</c:v>
                </c:pt>
                <c:pt idx="145">
                  <c:v>44915</c:v>
                </c:pt>
                <c:pt idx="146">
                  <c:v>44916</c:v>
                </c:pt>
                <c:pt idx="147">
                  <c:v>44917</c:v>
                </c:pt>
                <c:pt idx="148">
                  <c:v>44918</c:v>
                </c:pt>
                <c:pt idx="149">
                  <c:v>44921</c:v>
                </c:pt>
                <c:pt idx="150">
                  <c:v>44922</c:v>
                </c:pt>
                <c:pt idx="151">
                  <c:v>44923</c:v>
                </c:pt>
                <c:pt idx="152">
                  <c:v>44924</c:v>
                </c:pt>
                <c:pt idx="153">
                  <c:v>44925</c:v>
                </c:pt>
                <c:pt idx="154">
                  <c:v>44928</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44964</c:v>
                </c:pt>
                <c:pt idx="180">
                  <c:v>44965</c:v>
                </c:pt>
                <c:pt idx="181">
                  <c:v>44966</c:v>
                </c:pt>
                <c:pt idx="182">
                  <c:v>44967</c:v>
                </c:pt>
                <c:pt idx="183">
                  <c:v>44970</c:v>
                </c:pt>
                <c:pt idx="184">
                  <c:v>44971</c:v>
                </c:pt>
                <c:pt idx="185">
                  <c:v>44972</c:v>
                </c:pt>
                <c:pt idx="186">
                  <c:v>44973</c:v>
                </c:pt>
                <c:pt idx="187">
                  <c:v>44974</c:v>
                </c:pt>
                <c:pt idx="188">
                  <c:v>44977</c:v>
                </c:pt>
                <c:pt idx="189">
                  <c:v>44978</c:v>
                </c:pt>
                <c:pt idx="190">
                  <c:v>44979</c:v>
                </c:pt>
                <c:pt idx="191">
                  <c:v>44980</c:v>
                </c:pt>
                <c:pt idx="192">
                  <c:v>44981</c:v>
                </c:pt>
                <c:pt idx="193">
                  <c:v>44984</c:v>
                </c:pt>
              </c:numCache>
            </c:numRef>
          </c:xVal>
          <c:yVal>
            <c:numRef>
              <c:f>'BIMBOA.MX (2)'!$F$61:$F$254</c:f>
              <c:numCache>
                <c:formatCode>General</c:formatCode>
                <c:ptCount val="194"/>
                <c:pt idx="0">
                  <c:v>59.065333299999999</c:v>
                </c:pt>
                <c:pt idx="1">
                  <c:v>59.21566656666667</c:v>
                </c:pt>
                <c:pt idx="2">
                  <c:v>59.33766656666667</c:v>
                </c:pt>
                <c:pt idx="3">
                  <c:v>59.447999933333328</c:v>
                </c:pt>
                <c:pt idx="4">
                  <c:v>59.61833326666666</c:v>
                </c:pt>
                <c:pt idx="5">
                  <c:v>59.853333366666661</c:v>
                </c:pt>
                <c:pt idx="6">
                  <c:v>60.074666699999995</c:v>
                </c:pt>
                <c:pt idx="7">
                  <c:v>60.280999966666663</c:v>
                </c:pt>
                <c:pt idx="8">
                  <c:v>60.524333299999995</c:v>
                </c:pt>
                <c:pt idx="9">
                  <c:v>60.770333333333319</c:v>
                </c:pt>
                <c:pt idx="10">
                  <c:v>60.82799996666666</c:v>
                </c:pt>
                <c:pt idx="11">
                  <c:v>60.891666499999999</c:v>
                </c:pt>
                <c:pt idx="12">
                  <c:v>60.841666499999995</c:v>
                </c:pt>
                <c:pt idx="13">
                  <c:v>60.681666666666658</c:v>
                </c:pt>
                <c:pt idx="14">
                  <c:v>60.637333399999996</c:v>
                </c:pt>
                <c:pt idx="15">
                  <c:v>60.747666633333324</c:v>
                </c:pt>
                <c:pt idx="16">
                  <c:v>60.811666700000004</c:v>
                </c:pt>
                <c:pt idx="17">
                  <c:v>60.853333366666668</c:v>
                </c:pt>
                <c:pt idx="18">
                  <c:v>60.979333333333329</c:v>
                </c:pt>
                <c:pt idx="19">
                  <c:v>61.02700003333333</c:v>
                </c:pt>
                <c:pt idx="20">
                  <c:v>61.205666733333324</c:v>
                </c:pt>
                <c:pt idx="21">
                  <c:v>61.342666766666653</c:v>
                </c:pt>
                <c:pt idx="22">
                  <c:v>61.539333466666662</c:v>
                </c:pt>
                <c:pt idx="23">
                  <c:v>61.790333433333338</c:v>
                </c:pt>
                <c:pt idx="24">
                  <c:v>62.024666733333333</c:v>
                </c:pt>
                <c:pt idx="25">
                  <c:v>62.314000066666651</c:v>
                </c:pt>
                <c:pt idx="26">
                  <c:v>62.611000199999992</c:v>
                </c:pt>
                <c:pt idx="27">
                  <c:v>62.879000133333321</c:v>
                </c:pt>
                <c:pt idx="28">
                  <c:v>63.247333466666653</c:v>
                </c:pt>
                <c:pt idx="29">
                  <c:v>63.550000199999999</c:v>
                </c:pt>
                <c:pt idx="30">
                  <c:v>63.895666966666667</c:v>
                </c:pt>
                <c:pt idx="31">
                  <c:v>64.179666966666659</c:v>
                </c:pt>
                <c:pt idx="32">
                  <c:v>64.48500026666666</c:v>
                </c:pt>
                <c:pt idx="33">
                  <c:v>64.807333666666665</c:v>
                </c:pt>
                <c:pt idx="34">
                  <c:v>64.926333666666665</c:v>
                </c:pt>
                <c:pt idx="35">
                  <c:v>65.07266696666666</c:v>
                </c:pt>
                <c:pt idx="36">
                  <c:v>65.327000333333345</c:v>
                </c:pt>
                <c:pt idx="37">
                  <c:v>65.674333599999997</c:v>
                </c:pt>
                <c:pt idx="38">
                  <c:v>65.943000300000008</c:v>
                </c:pt>
                <c:pt idx="39">
                  <c:v>66.22633363333334</c:v>
                </c:pt>
                <c:pt idx="40">
                  <c:v>66.532667066666676</c:v>
                </c:pt>
                <c:pt idx="41">
                  <c:v>66.815333833333341</c:v>
                </c:pt>
                <c:pt idx="42">
                  <c:v>67.250000499999999</c:v>
                </c:pt>
                <c:pt idx="43">
                  <c:v>67.648333733333345</c:v>
                </c:pt>
                <c:pt idx="44">
                  <c:v>68.093333700000002</c:v>
                </c:pt>
                <c:pt idx="45">
                  <c:v>68.442333766666664</c:v>
                </c:pt>
                <c:pt idx="46">
                  <c:v>68.857333800000006</c:v>
                </c:pt>
                <c:pt idx="47">
                  <c:v>69.175000566666668</c:v>
                </c:pt>
                <c:pt idx="48">
                  <c:v>69.409667266666659</c:v>
                </c:pt>
                <c:pt idx="49">
                  <c:v>69.762667266666668</c:v>
                </c:pt>
                <c:pt idx="50">
                  <c:v>70.032333933333334</c:v>
                </c:pt>
                <c:pt idx="51">
                  <c:v>70.278000533333341</c:v>
                </c:pt>
                <c:pt idx="52">
                  <c:v>70.489667299999994</c:v>
                </c:pt>
                <c:pt idx="53">
                  <c:v>70.728667233333326</c:v>
                </c:pt>
                <c:pt idx="54">
                  <c:v>71.04666726666666</c:v>
                </c:pt>
                <c:pt idx="55">
                  <c:v>71.395333933333347</c:v>
                </c:pt>
                <c:pt idx="56">
                  <c:v>71.760333833333334</c:v>
                </c:pt>
                <c:pt idx="57">
                  <c:v>72.123000633333319</c:v>
                </c:pt>
                <c:pt idx="58">
                  <c:v>72.312000566666669</c:v>
                </c:pt>
                <c:pt idx="59">
                  <c:v>72.56500046666666</c:v>
                </c:pt>
                <c:pt idx="60">
                  <c:v>72.699333733333333</c:v>
                </c:pt>
                <c:pt idx="61">
                  <c:v>72.82866700000001</c:v>
                </c:pt>
                <c:pt idx="62">
                  <c:v>72.927333666666684</c:v>
                </c:pt>
                <c:pt idx="63">
                  <c:v>73.052666833333348</c:v>
                </c:pt>
                <c:pt idx="64">
                  <c:v>73.231333533333327</c:v>
                </c:pt>
                <c:pt idx="65">
                  <c:v>73.379666766666645</c:v>
                </c:pt>
                <c:pt idx="66">
                  <c:v>73.496333433333334</c:v>
                </c:pt>
                <c:pt idx="67">
                  <c:v>73.523000233333335</c:v>
                </c:pt>
                <c:pt idx="68">
                  <c:v>73.51066680000001</c:v>
                </c:pt>
                <c:pt idx="69">
                  <c:v>73.424000166666673</c:v>
                </c:pt>
                <c:pt idx="70">
                  <c:v>73.217666733333346</c:v>
                </c:pt>
                <c:pt idx="71">
                  <c:v>73.126666633333343</c:v>
                </c:pt>
                <c:pt idx="72">
                  <c:v>73.044333266666669</c:v>
                </c:pt>
                <c:pt idx="73">
                  <c:v>72.919000100000005</c:v>
                </c:pt>
                <c:pt idx="74">
                  <c:v>72.812666666666672</c:v>
                </c:pt>
                <c:pt idx="75">
                  <c:v>72.775000066666678</c:v>
                </c:pt>
                <c:pt idx="76">
                  <c:v>72.676333433333326</c:v>
                </c:pt>
                <c:pt idx="77">
                  <c:v>72.709333366666669</c:v>
                </c:pt>
                <c:pt idx="78">
                  <c:v>72.794333200000011</c:v>
                </c:pt>
                <c:pt idx="79">
                  <c:v>72.8189998</c:v>
                </c:pt>
                <c:pt idx="80">
                  <c:v>72.854666466666657</c:v>
                </c:pt>
                <c:pt idx="81">
                  <c:v>72.941333100000008</c:v>
                </c:pt>
                <c:pt idx="82">
                  <c:v>73.033332899999991</c:v>
                </c:pt>
                <c:pt idx="83">
                  <c:v>73.027999699999995</c:v>
                </c:pt>
                <c:pt idx="84">
                  <c:v>72.962999533333331</c:v>
                </c:pt>
                <c:pt idx="85">
                  <c:v>72.925332933333323</c:v>
                </c:pt>
                <c:pt idx="86">
                  <c:v>72.794332900000001</c:v>
                </c:pt>
                <c:pt idx="87">
                  <c:v>72.621332833333341</c:v>
                </c:pt>
                <c:pt idx="88">
                  <c:v>72.563666300000008</c:v>
                </c:pt>
                <c:pt idx="89">
                  <c:v>72.521333066666685</c:v>
                </c:pt>
                <c:pt idx="90">
                  <c:v>72.481332933333334</c:v>
                </c:pt>
                <c:pt idx="91">
                  <c:v>72.388332899999995</c:v>
                </c:pt>
                <c:pt idx="92">
                  <c:v>72.327333066666668</c:v>
                </c:pt>
                <c:pt idx="93">
                  <c:v>72.232666500000008</c:v>
                </c:pt>
                <c:pt idx="94">
                  <c:v>72.186333166666671</c:v>
                </c:pt>
                <c:pt idx="95">
                  <c:v>72.104333199999999</c:v>
                </c:pt>
                <c:pt idx="96">
                  <c:v>72.08033313333334</c:v>
                </c:pt>
                <c:pt idx="97">
                  <c:v>71.980666533333334</c:v>
                </c:pt>
                <c:pt idx="98">
                  <c:v>72.009666633333339</c:v>
                </c:pt>
                <c:pt idx="99">
                  <c:v>72.066999999999993</c:v>
                </c:pt>
                <c:pt idx="100">
                  <c:v>72.215333233333325</c:v>
                </c:pt>
                <c:pt idx="101">
                  <c:v>72.208333266666671</c:v>
                </c:pt>
                <c:pt idx="102">
                  <c:v>72.242666566666685</c:v>
                </c:pt>
                <c:pt idx="103">
                  <c:v>72.290999799999994</c:v>
                </c:pt>
                <c:pt idx="104">
                  <c:v>72.262999933333333</c:v>
                </c:pt>
                <c:pt idx="105">
                  <c:v>72.214999866666673</c:v>
                </c:pt>
                <c:pt idx="106">
                  <c:v>72.204333200000008</c:v>
                </c:pt>
                <c:pt idx="107">
                  <c:v>72.215666666666678</c:v>
                </c:pt>
                <c:pt idx="108">
                  <c:v>72.266333466666694</c:v>
                </c:pt>
                <c:pt idx="109">
                  <c:v>72.318666766666681</c:v>
                </c:pt>
                <c:pt idx="110">
                  <c:v>72.390333466666661</c:v>
                </c:pt>
                <c:pt idx="111">
                  <c:v>72.489666900000003</c:v>
                </c:pt>
                <c:pt idx="112">
                  <c:v>72.619333566666668</c:v>
                </c:pt>
                <c:pt idx="113">
                  <c:v>72.917000266666676</c:v>
                </c:pt>
                <c:pt idx="114">
                  <c:v>73.116333733333335</c:v>
                </c:pt>
                <c:pt idx="115">
                  <c:v>73.312667066666691</c:v>
                </c:pt>
                <c:pt idx="116">
                  <c:v>73.575000500000002</c:v>
                </c:pt>
                <c:pt idx="117">
                  <c:v>73.910333766666682</c:v>
                </c:pt>
                <c:pt idx="118">
                  <c:v>74.179000366666685</c:v>
                </c:pt>
                <c:pt idx="119">
                  <c:v>74.491666933333335</c:v>
                </c:pt>
                <c:pt idx="120">
                  <c:v>74.850000266666669</c:v>
                </c:pt>
                <c:pt idx="121">
                  <c:v>75.348667133333322</c:v>
                </c:pt>
                <c:pt idx="122">
                  <c:v>75.810000366666657</c:v>
                </c:pt>
                <c:pt idx="123">
                  <c:v>76.284333833333321</c:v>
                </c:pt>
                <c:pt idx="124">
                  <c:v>76.721666999999997</c:v>
                </c:pt>
                <c:pt idx="125">
                  <c:v>77.270333633333323</c:v>
                </c:pt>
                <c:pt idx="126">
                  <c:v>77.693333733333333</c:v>
                </c:pt>
                <c:pt idx="127">
                  <c:v>78.246000199999997</c:v>
                </c:pt>
                <c:pt idx="128">
                  <c:v>78.759333599999991</c:v>
                </c:pt>
                <c:pt idx="129">
                  <c:v>79.269333466666666</c:v>
                </c:pt>
                <c:pt idx="130">
                  <c:v>79.70400016666666</c:v>
                </c:pt>
                <c:pt idx="131">
                  <c:v>80.102000233333314</c:v>
                </c:pt>
                <c:pt idx="132">
                  <c:v>80.397666999999998</c:v>
                </c:pt>
                <c:pt idx="133">
                  <c:v>80.741666999999993</c:v>
                </c:pt>
                <c:pt idx="134">
                  <c:v>81.176666833333329</c:v>
                </c:pt>
                <c:pt idx="135">
                  <c:v>81.612666899999994</c:v>
                </c:pt>
                <c:pt idx="136">
                  <c:v>81.954333566666662</c:v>
                </c:pt>
                <c:pt idx="137">
                  <c:v>82.287666899999991</c:v>
                </c:pt>
                <c:pt idx="138">
                  <c:v>82.635666999999984</c:v>
                </c:pt>
                <c:pt idx="139">
                  <c:v>83.008667099999982</c:v>
                </c:pt>
                <c:pt idx="140">
                  <c:v>83.414667100000003</c:v>
                </c:pt>
                <c:pt idx="141">
                  <c:v>83.736333833333319</c:v>
                </c:pt>
                <c:pt idx="142">
                  <c:v>83.990000499999994</c:v>
                </c:pt>
                <c:pt idx="143">
                  <c:v>84.102667066666669</c:v>
                </c:pt>
                <c:pt idx="144">
                  <c:v>84.333000499999997</c:v>
                </c:pt>
                <c:pt idx="145">
                  <c:v>84.489333900000005</c:v>
                </c:pt>
                <c:pt idx="146">
                  <c:v>84.698000399999984</c:v>
                </c:pt>
                <c:pt idx="147">
                  <c:v>84.835000399999984</c:v>
                </c:pt>
                <c:pt idx="148">
                  <c:v>84.985666933333334</c:v>
                </c:pt>
                <c:pt idx="149">
                  <c:v>85.081000299999985</c:v>
                </c:pt>
                <c:pt idx="150">
                  <c:v>85.189333633333334</c:v>
                </c:pt>
                <c:pt idx="151">
                  <c:v>85.185333566666671</c:v>
                </c:pt>
                <c:pt idx="152">
                  <c:v>85.137000333333347</c:v>
                </c:pt>
                <c:pt idx="153">
                  <c:v>85.016666966666676</c:v>
                </c:pt>
                <c:pt idx="154">
                  <c:v>84.992333799999997</c:v>
                </c:pt>
                <c:pt idx="155">
                  <c:v>84.892667199999991</c:v>
                </c:pt>
                <c:pt idx="156">
                  <c:v>84.903000433333318</c:v>
                </c:pt>
                <c:pt idx="157">
                  <c:v>84.926000499999972</c:v>
                </c:pt>
                <c:pt idx="158">
                  <c:v>84.950000533333338</c:v>
                </c:pt>
                <c:pt idx="159">
                  <c:v>85.083333866666663</c:v>
                </c:pt>
                <c:pt idx="160">
                  <c:v>85.303000666666648</c:v>
                </c:pt>
                <c:pt idx="161">
                  <c:v>85.584667233333349</c:v>
                </c:pt>
                <c:pt idx="162">
                  <c:v>85.902333866666666</c:v>
                </c:pt>
                <c:pt idx="163">
                  <c:v>86.201667300000011</c:v>
                </c:pt>
                <c:pt idx="164">
                  <c:v>86.520000733333333</c:v>
                </c:pt>
                <c:pt idx="165">
                  <c:v>86.796000699999993</c:v>
                </c:pt>
                <c:pt idx="166">
                  <c:v>87.121000699999996</c:v>
                </c:pt>
                <c:pt idx="167">
                  <c:v>87.418333966666665</c:v>
                </c:pt>
                <c:pt idx="168">
                  <c:v>87.629667166666664</c:v>
                </c:pt>
                <c:pt idx="169">
                  <c:v>87.937000533333332</c:v>
                </c:pt>
                <c:pt idx="170">
                  <c:v>88.232667033333342</c:v>
                </c:pt>
                <c:pt idx="171">
                  <c:v>88.55633366666666</c:v>
                </c:pt>
                <c:pt idx="172">
                  <c:v>88.927667</c:v>
                </c:pt>
                <c:pt idx="173">
                  <c:v>89.22866696666668</c:v>
                </c:pt>
                <c:pt idx="174">
                  <c:v>89.485333533333332</c:v>
                </c:pt>
                <c:pt idx="175">
                  <c:v>89.743000066666667</c:v>
                </c:pt>
                <c:pt idx="176">
                  <c:v>89.994333433333352</c:v>
                </c:pt>
                <c:pt idx="177">
                  <c:v>90.23866683333334</c:v>
                </c:pt>
                <c:pt idx="178">
                  <c:v>90.490000200000011</c:v>
                </c:pt>
                <c:pt idx="179">
                  <c:v>90.672333566666694</c:v>
                </c:pt>
                <c:pt idx="180">
                  <c:v>90.805666900000006</c:v>
                </c:pt>
                <c:pt idx="181">
                  <c:v>90.960666933333343</c:v>
                </c:pt>
                <c:pt idx="182">
                  <c:v>91.125666833333341</c:v>
                </c:pt>
                <c:pt idx="183">
                  <c:v>91.369999966666683</c:v>
                </c:pt>
                <c:pt idx="184">
                  <c:v>91.504666633333343</c:v>
                </c:pt>
                <c:pt idx="185">
                  <c:v>91.673666633333355</c:v>
                </c:pt>
                <c:pt idx="186">
                  <c:v>91.774000066666673</c:v>
                </c:pt>
                <c:pt idx="187">
                  <c:v>91.764333366666662</c:v>
                </c:pt>
                <c:pt idx="188">
                  <c:v>91.787000033333328</c:v>
                </c:pt>
                <c:pt idx="189">
                  <c:v>91.69600016666665</c:v>
                </c:pt>
                <c:pt idx="190">
                  <c:v>91.575666799999979</c:v>
                </c:pt>
                <c:pt idx="191">
                  <c:v>91.467000299999967</c:v>
                </c:pt>
                <c:pt idx="192">
                  <c:v>91.361333666666653</c:v>
                </c:pt>
                <c:pt idx="193">
                  <c:v>91.295666966666644</c:v>
                </c:pt>
              </c:numCache>
            </c:numRef>
          </c:yVal>
          <c:smooth val="1"/>
          <c:extLst>
            <c:ext xmlns:c16="http://schemas.microsoft.com/office/drawing/2014/chart" uri="{C3380CC4-5D6E-409C-BE32-E72D297353CC}">
              <c16:uniqueId val="{00000002-F781-4E54-9920-8F05C961196A}"/>
            </c:ext>
          </c:extLst>
        </c:ser>
        <c:ser>
          <c:idx val="2"/>
          <c:order val="2"/>
          <c:tx>
            <c:strRef>
              <c:f>'BIMBOA.MX (2)'!$E$1</c:f>
              <c:strCache>
                <c:ptCount val="1"/>
                <c:pt idx="0">
                  <c:v>Close</c:v>
                </c:pt>
              </c:strCache>
            </c:strRef>
          </c:tx>
          <c:spPr>
            <a:ln w="19050" cap="rnd">
              <a:solidFill>
                <a:schemeClr val="accent3"/>
              </a:solidFill>
              <a:round/>
            </a:ln>
            <a:effectLst/>
          </c:spPr>
          <c:marker>
            <c:symbol val="none"/>
          </c:marker>
          <c:xVal>
            <c:numRef>
              <c:f>'BIMBOA.MX (2)'!$A$61:$A$254</c:f>
              <c:numCache>
                <c:formatCode>m/d/yy</c:formatCode>
                <c:ptCount val="194"/>
                <c:pt idx="0">
                  <c:v>44706</c:v>
                </c:pt>
                <c:pt idx="1">
                  <c:v>44707</c:v>
                </c:pt>
                <c:pt idx="2">
                  <c:v>44708</c:v>
                </c:pt>
                <c:pt idx="3">
                  <c:v>44711</c:v>
                </c:pt>
                <c:pt idx="4">
                  <c:v>44712</c:v>
                </c:pt>
                <c:pt idx="5">
                  <c:v>44713</c:v>
                </c:pt>
                <c:pt idx="6">
                  <c:v>44714</c:v>
                </c:pt>
                <c:pt idx="7">
                  <c:v>44715</c:v>
                </c:pt>
                <c:pt idx="8">
                  <c:v>44718</c:v>
                </c:pt>
                <c:pt idx="9">
                  <c:v>44719</c:v>
                </c:pt>
                <c:pt idx="10">
                  <c:v>44720</c:v>
                </c:pt>
                <c:pt idx="11">
                  <c:v>44721</c:v>
                </c:pt>
                <c:pt idx="12">
                  <c:v>44722</c:v>
                </c:pt>
                <c:pt idx="13">
                  <c:v>44725</c:v>
                </c:pt>
                <c:pt idx="14">
                  <c:v>44726</c:v>
                </c:pt>
                <c:pt idx="15">
                  <c:v>44727</c:v>
                </c:pt>
                <c:pt idx="16">
                  <c:v>44728</c:v>
                </c:pt>
                <c:pt idx="17">
                  <c:v>44729</c:v>
                </c:pt>
                <c:pt idx="18">
                  <c:v>44732</c:v>
                </c:pt>
                <c:pt idx="19">
                  <c:v>44733</c:v>
                </c:pt>
                <c:pt idx="20">
                  <c:v>44734</c:v>
                </c:pt>
                <c:pt idx="21">
                  <c:v>44735</c:v>
                </c:pt>
                <c:pt idx="22">
                  <c:v>44736</c:v>
                </c:pt>
                <c:pt idx="23">
                  <c:v>44739</c:v>
                </c:pt>
                <c:pt idx="24">
                  <c:v>44740</c:v>
                </c:pt>
                <c:pt idx="25">
                  <c:v>44741</c:v>
                </c:pt>
                <c:pt idx="26">
                  <c:v>44742</c:v>
                </c:pt>
                <c:pt idx="27">
                  <c:v>44743</c:v>
                </c:pt>
                <c:pt idx="28">
                  <c:v>44746</c:v>
                </c:pt>
                <c:pt idx="29">
                  <c:v>44747</c:v>
                </c:pt>
                <c:pt idx="30">
                  <c:v>44748</c:v>
                </c:pt>
                <c:pt idx="31">
                  <c:v>44749</c:v>
                </c:pt>
                <c:pt idx="32">
                  <c:v>44750</c:v>
                </c:pt>
                <c:pt idx="33">
                  <c:v>44753</c:v>
                </c:pt>
                <c:pt idx="34">
                  <c:v>44754</c:v>
                </c:pt>
                <c:pt idx="35">
                  <c:v>44755</c:v>
                </c:pt>
                <c:pt idx="36">
                  <c:v>44756</c:v>
                </c:pt>
                <c:pt idx="37">
                  <c:v>44757</c:v>
                </c:pt>
                <c:pt idx="38">
                  <c:v>44760</c:v>
                </c:pt>
                <c:pt idx="39">
                  <c:v>44761</c:v>
                </c:pt>
                <c:pt idx="40">
                  <c:v>44762</c:v>
                </c:pt>
                <c:pt idx="41">
                  <c:v>44763</c:v>
                </c:pt>
                <c:pt idx="42">
                  <c:v>44764</c:v>
                </c:pt>
                <c:pt idx="43">
                  <c:v>44767</c:v>
                </c:pt>
                <c:pt idx="44">
                  <c:v>44768</c:v>
                </c:pt>
                <c:pt idx="45">
                  <c:v>44769</c:v>
                </c:pt>
                <c:pt idx="46">
                  <c:v>44770</c:v>
                </c:pt>
                <c:pt idx="47">
                  <c:v>44771</c:v>
                </c:pt>
                <c:pt idx="48">
                  <c:v>44774</c:v>
                </c:pt>
                <c:pt idx="49">
                  <c:v>44775</c:v>
                </c:pt>
                <c:pt idx="50">
                  <c:v>44776</c:v>
                </c:pt>
                <c:pt idx="51">
                  <c:v>44777</c:v>
                </c:pt>
                <c:pt idx="52">
                  <c:v>44778</c:v>
                </c:pt>
                <c:pt idx="53">
                  <c:v>44781</c:v>
                </c:pt>
                <c:pt idx="54">
                  <c:v>44782</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44823</c:v>
                </c:pt>
                <c:pt idx="83">
                  <c:v>44824</c:v>
                </c:pt>
                <c:pt idx="84">
                  <c:v>44825</c:v>
                </c:pt>
                <c:pt idx="85">
                  <c:v>44826</c:v>
                </c:pt>
                <c:pt idx="86">
                  <c:v>44827</c:v>
                </c:pt>
                <c:pt idx="87">
                  <c:v>44830</c:v>
                </c:pt>
                <c:pt idx="88">
                  <c:v>44831</c:v>
                </c:pt>
                <c:pt idx="89">
                  <c:v>44832</c:v>
                </c:pt>
                <c:pt idx="90">
                  <c:v>44833</c:v>
                </c:pt>
                <c:pt idx="91">
                  <c:v>44834</c:v>
                </c:pt>
                <c:pt idx="92">
                  <c:v>44837</c:v>
                </c:pt>
                <c:pt idx="93">
                  <c:v>44838</c:v>
                </c:pt>
                <c:pt idx="94">
                  <c:v>44839</c:v>
                </c:pt>
                <c:pt idx="95">
                  <c:v>44840</c:v>
                </c:pt>
                <c:pt idx="96">
                  <c:v>44841</c:v>
                </c:pt>
                <c:pt idx="97">
                  <c:v>44844</c:v>
                </c:pt>
                <c:pt idx="98">
                  <c:v>44845</c:v>
                </c:pt>
                <c:pt idx="99">
                  <c:v>44846</c:v>
                </c:pt>
                <c:pt idx="100">
                  <c:v>44847</c:v>
                </c:pt>
                <c:pt idx="101">
                  <c:v>44848</c:v>
                </c:pt>
                <c:pt idx="102">
                  <c:v>44851</c:v>
                </c:pt>
                <c:pt idx="103">
                  <c:v>44852</c:v>
                </c:pt>
                <c:pt idx="104">
                  <c:v>44853</c:v>
                </c:pt>
                <c:pt idx="105">
                  <c:v>44854</c:v>
                </c:pt>
                <c:pt idx="106">
                  <c:v>44855</c:v>
                </c:pt>
                <c:pt idx="107">
                  <c:v>44858</c:v>
                </c:pt>
                <c:pt idx="108">
                  <c:v>44859</c:v>
                </c:pt>
                <c:pt idx="109">
                  <c:v>44860</c:v>
                </c:pt>
                <c:pt idx="110">
                  <c:v>44861</c:v>
                </c:pt>
                <c:pt idx="111">
                  <c:v>44862</c:v>
                </c:pt>
                <c:pt idx="112">
                  <c:v>44865</c:v>
                </c:pt>
                <c:pt idx="113">
                  <c:v>44866</c:v>
                </c:pt>
                <c:pt idx="114">
                  <c:v>44868</c:v>
                </c:pt>
                <c:pt idx="115">
                  <c:v>44869</c:v>
                </c:pt>
                <c:pt idx="116">
                  <c:v>44872</c:v>
                </c:pt>
                <c:pt idx="117">
                  <c:v>44873</c:v>
                </c:pt>
                <c:pt idx="118">
                  <c:v>44874</c:v>
                </c:pt>
                <c:pt idx="119">
                  <c:v>44875</c:v>
                </c:pt>
                <c:pt idx="120">
                  <c:v>44876</c:v>
                </c:pt>
                <c:pt idx="121">
                  <c:v>44879</c:v>
                </c:pt>
                <c:pt idx="122">
                  <c:v>44880</c:v>
                </c:pt>
                <c:pt idx="123">
                  <c:v>44881</c:v>
                </c:pt>
                <c:pt idx="124">
                  <c:v>44882</c:v>
                </c:pt>
                <c:pt idx="125">
                  <c:v>44883</c:v>
                </c:pt>
                <c:pt idx="126">
                  <c:v>44887</c:v>
                </c:pt>
                <c:pt idx="127">
                  <c:v>44888</c:v>
                </c:pt>
                <c:pt idx="128">
                  <c:v>44889</c:v>
                </c:pt>
                <c:pt idx="129">
                  <c:v>44890</c:v>
                </c:pt>
                <c:pt idx="130">
                  <c:v>44893</c:v>
                </c:pt>
                <c:pt idx="131">
                  <c:v>44894</c:v>
                </c:pt>
                <c:pt idx="132">
                  <c:v>44895</c:v>
                </c:pt>
                <c:pt idx="133">
                  <c:v>44896</c:v>
                </c:pt>
                <c:pt idx="134">
                  <c:v>44897</c:v>
                </c:pt>
                <c:pt idx="135">
                  <c:v>44900</c:v>
                </c:pt>
                <c:pt idx="136">
                  <c:v>44901</c:v>
                </c:pt>
                <c:pt idx="137">
                  <c:v>44902</c:v>
                </c:pt>
                <c:pt idx="138">
                  <c:v>44903</c:v>
                </c:pt>
                <c:pt idx="139">
                  <c:v>44904</c:v>
                </c:pt>
                <c:pt idx="140">
                  <c:v>44908</c:v>
                </c:pt>
                <c:pt idx="141">
                  <c:v>44909</c:v>
                </c:pt>
                <c:pt idx="142">
                  <c:v>44910</c:v>
                </c:pt>
                <c:pt idx="143">
                  <c:v>44911</c:v>
                </c:pt>
                <c:pt idx="144">
                  <c:v>44914</c:v>
                </c:pt>
                <c:pt idx="145">
                  <c:v>44915</c:v>
                </c:pt>
                <c:pt idx="146">
                  <c:v>44916</c:v>
                </c:pt>
                <c:pt idx="147">
                  <c:v>44917</c:v>
                </c:pt>
                <c:pt idx="148">
                  <c:v>44918</c:v>
                </c:pt>
                <c:pt idx="149">
                  <c:v>44921</c:v>
                </c:pt>
                <c:pt idx="150">
                  <c:v>44922</c:v>
                </c:pt>
                <c:pt idx="151">
                  <c:v>44923</c:v>
                </c:pt>
                <c:pt idx="152">
                  <c:v>44924</c:v>
                </c:pt>
                <c:pt idx="153">
                  <c:v>44925</c:v>
                </c:pt>
                <c:pt idx="154">
                  <c:v>44928</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44964</c:v>
                </c:pt>
                <c:pt idx="180">
                  <c:v>44965</c:v>
                </c:pt>
                <c:pt idx="181">
                  <c:v>44966</c:v>
                </c:pt>
                <c:pt idx="182">
                  <c:v>44967</c:v>
                </c:pt>
                <c:pt idx="183">
                  <c:v>44970</c:v>
                </c:pt>
                <c:pt idx="184">
                  <c:v>44971</c:v>
                </c:pt>
                <c:pt idx="185">
                  <c:v>44972</c:v>
                </c:pt>
                <c:pt idx="186">
                  <c:v>44973</c:v>
                </c:pt>
                <c:pt idx="187">
                  <c:v>44974</c:v>
                </c:pt>
                <c:pt idx="188">
                  <c:v>44977</c:v>
                </c:pt>
                <c:pt idx="189">
                  <c:v>44978</c:v>
                </c:pt>
                <c:pt idx="190">
                  <c:v>44979</c:v>
                </c:pt>
                <c:pt idx="191">
                  <c:v>44980</c:v>
                </c:pt>
                <c:pt idx="192">
                  <c:v>44981</c:v>
                </c:pt>
                <c:pt idx="193">
                  <c:v>44984</c:v>
                </c:pt>
              </c:numCache>
            </c:numRef>
          </c:xVal>
          <c:yVal>
            <c:numRef>
              <c:f>'BIMBOA.MX (2)'!$E$61:$E$254</c:f>
              <c:numCache>
                <c:formatCode>General</c:formatCode>
                <c:ptCount val="194"/>
                <c:pt idx="0">
                  <c:v>59.540000999999997</c:v>
                </c:pt>
                <c:pt idx="1">
                  <c:v>61.16</c:v>
                </c:pt>
                <c:pt idx="2">
                  <c:v>61.439999</c:v>
                </c:pt>
                <c:pt idx="3">
                  <c:v>61.09</c:v>
                </c:pt>
                <c:pt idx="4">
                  <c:v>64.720000999999996</c:v>
                </c:pt>
                <c:pt idx="5">
                  <c:v>64.660004000000001</c:v>
                </c:pt>
                <c:pt idx="6">
                  <c:v>62.48</c:v>
                </c:pt>
                <c:pt idx="7">
                  <c:v>62.18</c:v>
                </c:pt>
                <c:pt idx="8">
                  <c:v>63.439999</c:v>
                </c:pt>
                <c:pt idx="9">
                  <c:v>63.57</c:v>
                </c:pt>
                <c:pt idx="10">
                  <c:v>63.220001000000003</c:v>
                </c:pt>
                <c:pt idx="11">
                  <c:v>64.519997000000004</c:v>
                </c:pt>
                <c:pt idx="12">
                  <c:v>61.400002000000001</c:v>
                </c:pt>
                <c:pt idx="13">
                  <c:v>62.290000999999997</c:v>
                </c:pt>
                <c:pt idx="14">
                  <c:v>60.720001000000003</c:v>
                </c:pt>
                <c:pt idx="15">
                  <c:v>62.599997999999999</c:v>
                </c:pt>
                <c:pt idx="16">
                  <c:v>62.630001</c:v>
                </c:pt>
                <c:pt idx="17">
                  <c:v>62.509998000000003</c:v>
                </c:pt>
                <c:pt idx="18">
                  <c:v>64.110000999999997</c:v>
                </c:pt>
                <c:pt idx="19">
                  <c:v>61.700001</c:v>
                </c:pt>
                <c:pt idx="20">
                  <c:v>63.490001999999997</c:v>
                </c:pt>
                <c:pt idx="21">
                  <c:v>63.48</c:v>
                </c:pt>
                <c:pt idx="22">
                  <c:v>63.810001</c:v>
                </c:pt>
                <c:pt idx="23">
                  <c:v>65.959998999999996</c:v>
                </c:pt>
                <c:pt idx="24">
                  <c:v>66</c:v>
                </c:pt>
                <c:pt idx="25">
                  <c:v>65.849997999999999</c:v>
                </c:pt>
                <c:pt idx="26">
                  <c:v>65.370002999999997</c:v>
                </c:pt>
                <c:pt idx="27">
                  <c:v>65.809997999999993</c:v>
                </c:pt>
                <c:pt idx="28">
                  <c:v>69.569999999999993</c:v>
                </c:pt>
                <c:pt idx="29">
                  <c:v>67.180000000000007</c:v>
                </c:pt>
                <c:pt idx="30">
                  <c:v>69.910004000000001</c:v>
                </c:pt>
                <c:pt idx="31">
                  <c:v>69.680000000000007</c:v>
                </c:pt>
                <c:pt idx="32">
                  <c:v>70.599997999999999</c:v>
                </c:pt>
                <c:pt idx="33">
                  <c:v>70.760002</c:v>
                </c:pt>
                <c:pt idx="34">
                  <c:v>68.290001000000004</c:v>
                </c:pt>
                <c:pt idx="35">
                  <c:v>69.050003000000004</c:v>
                </c:pt>
                <c:pt idx="36">
                  <c:v>70.110000999999997</c:v>
                </c:pt>
                <c:pt idx="37">
                  <c:v>72.599997999999999</c:v>
                </c:pt>
                <c:pt idx="38">
                  <c:v>71.5</c:v>
                </c:pt>
                <c:pt idx="39">
                  <c:v>72.069999999999993</c:v>
                </c:pt>
                <c:pt idx="40">
                  <c:v>72.410004000000001</c:v>
                </c:pt>
                <c:pt idx="41">
                  <c:v>73</c:v>
                </c:pt>
                <c:pt idx="42">
                  <c:v>74.440002000000007</c:v>
                </c:pt>
                <c:pt idx="43">
                  <c:v>74.239998</c:v>
                </c:pt>
                <c:pt idx="44">
                  <c:v>74.069999999999993</c:v>
                </c:pt>
                <c:pt idx="45">
                  <c:v>73.069999999999993</c:v>
                </c:pt>
                <c:pt idx="46">
                  <c:v>75.080001999999993</c:v>
                </c:pt>
                <c:pt idx="47">
                  <c:v>72.040001000000004</c:v>
                </c:pt>
                <c:pt idx="48">
                  <c:v>71.150002000000001</c:v>
                </c:pt>
                <c:pt idx="49">
                  <c:v>72.290001000000004</c:v>
                </c:pt>
                <c:pt idx="50">
                  <c:v>71.580001999999993</c:v>
                </c:pt>
                <c:pt idx="51">
                  <c:v>70.849997999999999</c:v>
                </c:pt>
                <c:pt idx="52">
                  <c:v>70.160004000000001</c:v>
                </c:pt>
                <c:pt idx="53">
                  <c:v>73.129997000000003</c:v>
                </c:pt>
                <c:pt idx="54">
                  <c:v>75.540001000000004</c:v>
                </c:pt>
                <c:pt idx="55">
                  <c:v>76.309997999999993</c:v>
                </c:pt>
                <c:pt idx="56">
                  <c:v>76.319999999999993</c:v>
                </c:pt>
                <c:pt idx="57">
                  <c:v>76.690002000000007</c:v>
                </c:pt>
                <c:pt idx="58">
                  <c:v>75.239998</c:v>
                </c:pt>
                <c:pt idx="59">
                  <c:v>74.769997000000004</c:v>
                </c:pt>
                <c:pt idx="60">
                  <c:v>73.940002000000007</c:v>
                </c:pt>
                <c:pt idx="61">
                  <c:v>73.559997999999993</c:v>
                </c:pt>
                <c:pt idx="62">
                  <c:v>73.559997999999993</c:v>
                </c:pt>
                <c:pt idx="63">
                  <c:v>74.519997000000004</c:v>
                </c:pt>
                <c:pt idx="64">
                  <c:v>73.650002000000001</c:v>
                </c:pt>
                <c:pt idx="65">
                  <c:v>73.5</c:v>
                </c:pt>
                <c:pt idx="66">
                  <c:v>73.610000999999997</c:v>
                </c:pt>
                <c:pt idx="67">
                  <c:v>73.400002000000001</c:v>
                </c:pt>
                <c:pt idx="68">
                  <c:v>71.129997000000003</c:v>
                </c:pt>
                <c:pt idx="69">
                  <c:v>69.470000999999996</c:v>
                </c:pt>
                <c:pt idx="70">
                  <c:v>66.220000999999996</c:v>
                </c:pt>
                <c:pt idx="71">
                  <c:v>70.269997000000004</c:v>
                </c:pt>
                <c:pt idx="72">
                  <c:v>71.970000999999996</c:v>
                </c:pt>
                <c:pt idx="73">
                  <c:v>70.480002999999996</c:v>
                </c:pt>
                <c:pt idx="74">
                  <c:v>70.879997000000003</c:v>
                </c:pt>
                <c:pt idx="75">
                  <c:v>71.940002000000007</c:v>
                </c:pt>
                <c:pt idx="76">
                  <c:v>72.120002999999997</c:v>
                </c:pt>
                <c:pt idx="77">
                  <c:v>73.029999000000004</c:v>
                </c:pt>
                <c:pt idx="78">
                  <c:v>73.699996999999996</c:v>
                </c:pt>
                <c:pt idx="79">
                  <c:v>73.029999000000004</c:v>
                </c:pt>
                <c:pt idx="80">
                  <c:v>72.650002000000001</c:v>
                </c:pt>
                <c:pt idx="81">
                  <c:v>73.449996999999996</c:v>
                </c:pt>
                <c:pt idx="82">
                  <c:v>72.919998000000007</c:v>
                </c:pt>
                <c:pt idx="83">
                  <c:v>72.970000999999996</c:v>
                </c:pt>
                <c:pt idx="84">
                  <c:v>73.589995999999999</c:v>
                </c:pt>
                <c:pt idx="85">
                  <c:v>75.180000000000007</c:v>
                </c:pt>
                <c:pt idx="86">
                  <c:v>72.389999000000003</c:v>
                </c:pt>
                <c:pt idx="87">
                  <c:v>71.5</c:v>
                </c:pt>
                <c:pt idx="88">
                  <c:v>73.510002</c:v>
                </c:pt>
                <c:pt idx="89">
                  <c:v>73.5</c:v>
                </c:pt>
                <c:pt idx="90">
                  <c:v>72.739998</c:v>
                </c:pt>
                <c:pt idx="91">
                  <c:v>70.769997000000004</c:v>
                </c:pt>
                <c:pt idx="92">
                  <c:v>71.730002999999996</c:v>
                </c:pt>
                <c:pt idx="93">
                  <c:v>71.680000000000007</c:v>
                </c:pt>
                <c:pt idx="94">
                  <c:v>72.260002</c:v>
                </c:pt>
                <c:pt idx="95">
                  <c:v>71.040001000000004</c:v>
                </c:pt>
                <c:pt idx="96">
                  <c:v>72.889999000000003</c:v>
                </c:pt>
                <c:pt idx="97">
                  <c:v>70.410004000000001</c:v>
                </c:pt>
                <c:pt idx="98">
                  <c:v>72</c:v>
                </c:pt>
                <c:pt idx="99">
                  <c:v>71.190002000000007</c:v>
                </c:pt>
                <c:pt idx="100">
                  <c:v>70.669998000000007</c:v>
                </c:pt>
                <c:pt idx="101">
                  <c:v>70.059997999999993</c:v>
                </c:pt>
                <c:pt idx="102">
                  <c:v>73</c:v>
                </c:pt>
                <c:pt idx="103">
                  <c:v>71.930000000000007</c:v>
                </c:pt>
                <c:pt idx="104">
                  <c:v>70.040001000000004</c:v>
                </c:pt>
                <c:pt idx="105">
                  <c:v>70.5</c:v>
                </c:pt>
                <c:pt idx="106">
                  <c:v>71.800003000000004</c:v>
                </c:pt>
                <c:pt idx="107">
                  <c:v>73.370002999999997</c:v>
                </c:pt>
                <c:pt idx="108">
                  <c:v>75.220000999999996</c:v>
                </c:pt>
                <c:pt idx="109">
                  <c:v>74.599997999999999</c:v>
                </c:pt>
                <c:pt idx="110">
                  <c:v>74.800003000000004</c:v>
                </c:pt>
                <c:pt idx="111">
                  <c:v>76.430000000000007</c:v>
                </c:pt>
                <c:pt idx="112">
                  <c:v>76.809997999999993</c:v>
                </c:pt>
                <c:pt idx="113">
                  <c:v>81.900002000000001</c:v>
                </c:pt>
                <c:pt idx="114">
                  <c:v>79.569999999999993</c:v>
                </c:pt>
                <c:pt idx="115">
                  <c:v>81.069999999999993</c:v>
                </c:pt>
                <c:pt idx="116">
                  <c:v>80.260002</c:v>
                </c:pt>
                <c:pt idx="117">
                  <c:v>81.559997999999993</c:v>
                </c:pt>
                <c:pt idx="118">
                  <c:v>81.569999999999993</c:v>
                </c:pt>
                <c:pt idx="119">
                  <c:v>82.879997000000003</c:v>
                </c:pt>
                <c:pt idx="120">
                  <c:v>83.489998</c:v>
                </c:pt>
                <c:pt idx="121">
                  <c:v>85.730002999999996</c:v>
                </c:pt>
                <c:pt idx="122">
                  <c:v>85.57</c:v>
                </c:pt>
                <c:pt idx="123">
                  <c:v>85.910004000000001</c:v>
                </c:pt>
                <c:pt idx="124">
                  <c:v>85.379997000000003</c:v>
                </c:pt>
                <c:pt idx="125">
                  <c:v>87.5</c:v>
                </c:pt>
                <c:pt idx="126">
                  <c:v>85.580001999999993</c:v>
                </c:pt>
                <c:pt idx="127">
                  <c:v>86.989998</c:v>
                </c:pt>
                <c:pt idx="128">
                  <c:v>87.400002000000001</c:v>
                </c:pt>
                <c:pt idx="129">
                  <c:v>86.489998</c:v>
                </c:pt>
                <c:pt idx="130">
                  <c:v>83.709998999999996</c:v>
                </c:pt>
                <c:pt idx="131">
                  <c:v>82</c:v>
                </c:pt>
                <c:pt idx="132">
                  <c:v>81.870002999999997</c:v>
                </c:pt>
                <c:pt idx="133">
                  <c:v>82.25</c:v>
                </c:pt>
                <c:pt idx="134">
                  <c:v>83.089995999999999</c:v>
                </c:pt>
                <c:pt idx="135">
                  <c:v>83.580001999999993</c:v>
                </c:pt>
                <c:pt idx="136">
                  <c:v>82.050003000000004</c:v>
                </c:pt>
                <c:pt idx="137">
                  <c:v>83.370002999999997</c:v>
                </c:pt>
                <c:pt idx="138">
                  <c:v>85.660004000000001</c:v>
                </c:pt>
                <c:pt idx="139">
                  <c:v>85.790001000000004</c:v>
                </c:pt>
                <c:pt idx="140">
                  <c:v>86.980002999999996</c:v>
                </c:pt>
                <c:pt idx="141">
                  <c:v>86.080001999999993</c:v>
                </c:pt>
                <c:pt idx="142">
                  <c:v>84.419998000000007</c:v>
                </c:pt>
                <c:pt idx="143">
                  <c:v>85.279999000000004</c:v>
                </c:pt>
                <c:pt idx="144">
                  <c:v>86.480002999999996</c:v>
                </c:pt>
                <c:pt idx="145">
                  <c:v>85.760002</c:v>
                </c:pt>
                <c:pt idx="146">
                  <c:v>86.519997000000004</c:v>
                </c:pt>
                <c:pt idx="147">
                  <c:v>85.669998000000007</c:v>
                </c:pt>
                <c:pt idx="148">
                  <c:v>86.089995999999999</c:v>
                </c:pt>
                <c:pt idx="149">
                  <c:v>85.739998</c:v>
                </c:pt>
                <c:pt idx="150">
                  <c:v>86.739998</c:v>
                </c:pt>
                <c:pt idx="151">
                  <c:v>85.610000999999997</c:v>
                </c:pt>
                <c:pt idx="152">
                  <c:v>84.120002999999997</c:v>
                </c:pt>
                <c:pt idx="153">
                  <c:v>82.300003000000004</c:v>
                </c:pt>
                <c:pt idx="154">
                  <c:v>84.650002000000001</c:v>
                </c:pt>
                <c:pt idx="155">
                  <c:v>84.510002</c:v>
                </c:pt>
                <c:pt idx="156">
                  <c:v>85.889999000000003</c:v>
                </c:pt>
                <c:pt idx="157">
                  <c:v>87.68</c:v>
                </c:pt>
                <c:pt idx="158">
                  <c:v>88.120002999999997</c:v>
                </c:pt>
                <c:pt idx="159">
                  <c:v>90.489998</c:v>
                </c:pt>
                <c:pt idx="160">
                  <c:v>90.300003000000004</c:v>
                </c:pt>
                <c:pt idx="161">
                  <c:v>90.449996999999996</c:v>
                </c:pt>
                <c:pt idx="162">
                  <c:v>91.400002000000001</c:v>
                </c:pt>
                <c:pt idx="163">
                  <c:v>91.230002999999996</c:v>
                </c:pt>
                <c:pt idx="164">
                  <c:v>92.639999000000003</c:v>
                </c:pt>
                <c:pt idx="165">
                  <c:v>91.860000999999997</c:v>
                </c:pt>
                <c:pt idx="166">
                  <c:v>91.800003000000004</c:v>
                </c:pt>
                <c:pt idx="167">
                  <c:v>92.290001000000004</c:v>
                </c:pt>
                <c:pt idx="168">
                  <c:v>92</c:v>
                </c:pt>
                <c:pt idx="169">
                  <c:v>95.010002</c:v>
                </c:pt>
                <c:pt idx="170">
                  <c:v>95.849997999999999</c:v>
                </c:pt>
                <c:pt idx="171">
                  <c:v>95.790001000000004</c:v>
                </c:pt>
                <c:pt idx="172">
                  <c:v>95.559997999999993</c:v>
                </c:pt>
                <c:pt idx="173">
                  <c:v>94.309997999999993</c:v>
                </c:pt>
                <c:pt idx="174">
                  <c:v>94.18</c:v>
                </c:pt>
                <c:pt idx="175">
                  <c:v>93.489998</c:v>
                </c:pt>
                <c:pt idx="176">
                  <c:v>94.059997999999993</c:v>
                </c:pt>
                <c:pt idx="177">
                  <c:v>93</c:v>
                </c:pt>
                <c:pt idx="178">
                  <c:v>93.629997000000003</c:v>
                </c:pt>
                <c:pt idx="179">
                  <c:v>91.209998999999996</c:v>
                </c:pt>
                <c:pt idx="180">
                  <c:v>90.739998</c:v>
                </c:pt>
                <c:pt idx="181">
                  <c:v>90.260002</c:v>
                </c:pt>
                <c:pt idx="182">
                  <c:v>89.07</c:v>
                </c:pt>
                <c:pt idx="183">
                  <c:v>89.629997000000003</c:v>
                </c:pt>
                <c:pt idx="184">
                  <c:v>88.690002000000007</c:v>
                </c:pt>
                <c:pt idx="185">
                  <c:v>89.580001999999993</c:v>
                </c:pt>
                <c:pt idx="186">
                  <c:v>88.900002000000001</c:v>
                </c:pt>
                <c:pt idx="187">
                  <c:v>87.389999000000003</c:v>
                </c:pt>
                <c:pt idx="188">
                  <c:v>88.800003000000004</c:v>
                </c:pt>
                <c:pt idx="189">
                  <c:v>87.760002</c:v>
                </c:pt>
                <c:pt idx="190">
                  <c:v>86.690002000000007</c:v>
                </c:pt>
                <c:pt idx="191">
                  <c:v>87.190002000000007</c:v>
                </c:pt>
                <c:pt idx="192">
                  <c:v>88.230002999999996</c:v>
                </c:pt>
                <c:pt idx="193">
                  <c:v>89.260002</c:v>
                </c:pt>
              </c:numCache>
            </c:numRef>
          </c:yVal>
          <c:smooth val="1"/>
          <c:extLst>
            <c:ext xmlns:c16="http://schemas.microsoft.com/office/drawing/2014/chart" uri="{C3380CC4-5D6E-409C-BE32-E72D297353CC}">
              <c16:uniqueId val="{00000003-F781-4E54-9920-8F05C961196A}"/>
            </c:ext>
          </c:extLst>
        </c:ser>
        <c:dLbls>
          <c:showLegendKey val="0"/>
          <c:showVal val="0"/>
          <c:showCatName val="0"/>
          <c:showSerName val="0"/>
          <c:showPercent val="0"/>
          <c:showBubbleSize val="0"/>
        </c:dLbls>
        <c:axId val="851684840"/>
        <c:axId val="851689104"/>
      </c:scatterChart>
      <c:valAx>
        <c:axId val="8516848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Fecha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MX"/>
            </a:p>
          </c:txPr>
        </c:title>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162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51689104"/>
        <c:crosses val="autoZero"/>
        <c:crossBetween val="midCat"/>
      </c:valAx>
      <c:valAx>
        <c:axId val="851689104"/>
        <c:scaling>
          <c:orientation val="minMax"/>
          <c:max val="110"/>
          <c:min val="5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Precio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MX"/>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51684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Señales: MACD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X"/>
        </a:p>
      </c:txPr>
    </c:title>
    <c:autoTitleDeleted val="0"/>
    <c:plotArea>
      <c:layout/>
      <c:lineChart>
        <c:grouping val="standard"/>
        <c:varyColors val="0"/>
        <c:ser>
          <c:idx val="0"/>
          <c:order val="0"/>
          <c:tx>
            <c:v>Close</c:v>
          </c:tx>
          <c:spPr>
            <a:ln w="12700" cap="rnd">
              <a:solidFill>
                <a:schemeClr val="accent1"/>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Datos!$E$21:$E$203</c:f>
              <c:numCache>
                <c:formatCode>General</c:formatCode>
                <c:ptCount val="183"/>
                <c:pt idx="0">
                  <c:v>59.220001000000003</c:v>
                </c:pt>
                <c:pt idx="1">
                  <c:v>60.599997999999999</c:v>
                </c:pt>
                <c:pt idx="2">
                  <c:v>60.119999</c:v>
                </c:pt>
                <c:pt idx="3">
                  <c:v>60.060001</c:v>
                </c:pt>
                <c:pt idx="4">
                  <c:v>62.98</c:v>
                </c:pt>
                <c:pt idx="5">
                  <c:v>64.319999999999993</c:v>
                </c:pt>
                <c:pt idx="6">
                  <c:v>62.5</c:v>
                </c:pt>
                <c:pt idx="7">
                  <c:v>59.509998000000003</c:v>
                </c:pt>
                <c:pt idx="8">
                  <c:v>59.5</c:v>
                </c:pt>
                <c:pt idx="9">
                  <c:v>59.220001000000003</c:v>
                </c:pt>
                <c:pt idx="10">
                  <c:v>58.41</c:v>
                </c:pt>
                <c:pt idx="11">
                  <c:v>56.650002000000001</c:v>
                </c:pt>
                <c:pt idx="12">
                  <c:v>57.779998999999997</c:v>
                </c:pt>
                <c:pt idx="13">
                  <c:v>57.779998999999997</c:v>
                </c:pt>
                <c:pt idx="14">
                  <c:v>59.610000999999997</c:v>
                </c:pt>
                <c:pt idx="15">
                  <c:v>57.610000999999997</c:v>
                </c:pt>
                <c:pt idx="16">
                  <c:v>55.84</c:v>
                </c:pt>
                <c:pt idx="17">
                  <c:v>55.990001999999997</c:v>
                </c:pt>
                <c:pt idx="18">
                  <c:v>56.139999000000003</c:v>
                </c:pt>
                <c:pt idx="19">
                  <c:v>56.189999</c:v>
                </c:pt>
                <c:pt idx="20">
                  <c:v>61.490001999999997</c:v>
                </c:pt>
                <c:pt idx="21">
                  <c:v>62.610000999999997</c:v>
                </c:pt>
                <c:pt idx="22">
                  <c:v>62.900002000000001</c:v>
                </c:pt>
                <c:pt idx="23">
                  <c:v>67.089995999999999</c:v>
                </c:pt>
                <c:pt idx="24">
                  <c:v>62.049999</c:v>
                </c:pt>
                <c:pt idx="25">
                  <c:v>59.290000999999997</c:v>
                </c:pt>
                <c:pt idx="26">
                  <c:v>60.709999000000003</c:v>
                </c:pt>
                <c:pt idx="27">
                  <c:v>61.259998000000003</c:v>
                </c:pt>
                <c:pt idx="28">
                  <c:v>60.330002</c:v>
                </c:pt>
                <c:pt idx="29">
                  <c:v>60.27</c:v>
                </c:pt>
                <c:pt idx="30">
                  <c:v>58.130001</c:v>
                </c:pt>
                <c:pt idx="31">
                  <c:v>59.369999</c:v>
                </c:pt>
                <c:pt idx="32">
                  <c:v>57.91</c:v>
                </c:pt>
                <c:pt idx="33">
                  <c:v>58.43</c:v>
                </c:pt>
                <c:pt idx="34">
                  <c:v>58.970001000000003</c:v>
                </c:pt>
                <c:pt idx="35">
                  <c:v>57.169998</c:v>
                </c:pt>
                <c:pt idx="36">
                  <c:v>56.459999000000003</c:v>
                </c:pt>
                <c:pt idx="37">
                  <c:v>57.77</c:v>
                </c:pt>
                <c:pt idx="38">
                  <c:v>58.52</c:v>
                </c:pt>
                <c:pt idx="39">
                  <c:v>58.099997999999999</c:v>
                </c:pt>
                <c:pt idx="40">
                  <c:v>59.540000999999997</c:v>
                </c:pt>
                <c:pt idx="41">
                  <c:v>61.16</c:v>
                </c:pt>
                <c:pt idx="42">
                  <c:v>61.439999</c:v>
                </c:pt>
                <c:pt idx="43">
                  <c:v>61.09</c:v>
                </c:pt>
                <c:pt idx="44">
                  <c:v>64.720000999999996</c:v>
                </c:pt>
                <c:pt idx="45">
                  <c:v>64.660004000000001</c:v>
                </c:pt>
                <c:pt idx="46">
                  <c:v>62.48</c:v>
                </c:pt>
                <c:pt idx="47">
                  <c:v>62.18</c:v>
                </c:pt>
                <c:pt idx="48">
                  <c:v>63.439999</c:v>
                </c:pt>
                <c:pt idx="49">
                  <c:v>63.57</c:v>
                </c:pt>
                <c:pt idx="50">
                  <c:v>63.220001000000003</c:v>
                </c:pt>
                <c:pt idx="51">
                  <c:v>64.519997000000004</c:v>
                </c:pt>
                <c:pt idx="52">
                  <c:v>61.400002000000001</c:v>
                </c:pt>
                <c:pt idx="53">
                  <c:v>62.290000999999997</c:v>
                </c:pt>
                <c:pt idx="54">
                  <c:v>60.720001000000003</c:v>
                </c:pt>
                <c:pt idx="55">
                  <c:v>62.599997999999999</c:v>
                </c:pt>
                <c:pt idx="56">
                  <c:v>62.630001</c:v>
                </c:pt>
                <c:pt idx="57">
                  <c:v>62.509998000000003</c:v>
                </c:pt>
                <c:pt idx="58">
                  <c:v>64.110000999999997</c:v>
                </c:pt>
                <c:pt idx="59">
                  <c:v>61.700001</c:v>
                </c:pt>
                <c:pt idx="60">
                  <c:v>63.490001999999997</c:v>
                </c:pt>
                <c:pt idx="61">
                  <c:v>63.48</c:v>
                </c:pt>
                <c:pt idx="62">
                  <c:v>63.810001</c:v>
                </c:pt>
                <c:pt idx="63">
                  <c:v>65.959998999999996</c:v>
                </c:pt>
                <c:pt idx="64">
                  <c:v>66</c:v>
                </c:pt>
                <c:pt idx="65">
                  <c:v>65.849997999999999</c:v>
                </c:pt>
                <c:pt idx="66">
                  <c:v>65.370002999999997</c:v>
                </c:pt>
                <c:pt idx="67">
                  <c:v>65.809997999999993</c:v>
                </c:pt>
                <c:pt idx="68">
                  <c:v>69.569999999999993</c:v>
                </c:pt>
                <c:pt idx="69">
                  <c:v>67.180000000000007</c:v>
                </c:pt>
                <c:pt idx="70">
                  <c:v>69.910004000000001</c:v>
                </c:pt>
                <c:pt idx="71">
                  <c:v>69.680000000000007</c:v>
                </c:pt>
                <c:pt idx="72">
                  <c:v>70.599997999999999</c:v>
                </c:pt>
                <c:pt idx="73">
                  <c:v>70.760002</c:v>
                </c:pt>
                <c:pt idx="74">
                  <c:v>68.290001000000004</c:v>
                </c:pt>
                <c:pt idx="75">
                  <c:v>69.050003000000004</c:v>
                </c:pt>
                <c:pt idx="76">
                  <c:v>70.110000999999997</c:v>
                </c:pt>
                <c:pt idx="77">
                  <c:v>72.599997999999999</c:v>
                </c:pt>
                <c:pt idx="78">
                  <c:v>71.5</c:v>
                </c:pt>
                <c:pt idx="79">
                  <c:v>72.069999999999993</c:v>
                </c:pt>
                <c:pt idx="80">
                  <c:v>72.410004000000001</c:v>
                </c:pt>
                <c:pt idx="81">
                  <c:v>73</c:v>
                </c:pt>
                <c:pt idx="82">
                  <c:v>74.440002000000007</c:v>
                </c:pt>
                <c:pt idx="83">
                  <c:v>74.239998</c:v>
                </c:pt>
                <c:pt idx="84">
                  <c:v>74.069999999999993</c:v>
                </c:pt>
                <c:pt idx="85">
                  <c:v>73.069999999999993</c:v>
                </c:pt>
                <c:pt idx="86">
                  <c:v>75.080001999999993</c:v>
                </c:pt>
                <c:pt idx="87">
                  <c:v>72.040001000000004</c:v>
                </c:pt>
                <c:pt idx="88">
                  <c:v>71.150002000000001</c:v>
                </c:pt>
                <c:pt idx="89">
                  <c:v>72.290001000000004</c:v>
                </c:pt>
                <c:pt idx="90">
                  <c:v>71.580001999999993</c:v>
                </c:pt>
                <c:pt idx="91">
                  <c:v>70.849997999999999</c:v>
                </c:pt>
                <c:pt idx="92">
                  <c:v>70.160004000000001</c:v>
                </c:pt>
                <c:pt idx="93">
                  <c:v>73.129997000000003</c:v>
                </c:pt>
                <c:pt idx="94">
                  <c:v>75.540001000000004</c:v>
                </c:pt>
                <c:pt idx="95">
                  <c:v>76.309997999999993</c:v>
                </c:pt>
                <c:pt idx="96">
                  <c:v>76.319999999999993</c:v>
                </c:pt>
                <c:pt idx="97">
                  <c:v>76.690002000000007</c:v>
                </c:pt>
                <c:pt idx="98">
                  <c:v>75.239998</c:v>
                </c:pt>
                <c:pt idx="99">
                  <c:v>74.769997000000004</c:v>
                </c:pt>
                <c:pt idx="100">
                  <c:v>73.940002000000007</c:v>
                </c:pt>
                <c:pt idx="101">
                  <c:v>73.559997999999993</c:v>
                </c:pt>
                <c:pt idx="102">
                  <c:v>73.559997999999993</c:v>
                </c:pt>
                <c:pt idx="103">
                  <c:v>74.519997000000004</c:v>
                </c:pt>
                <c:pt idx="104">
                  <c:v>73.650002000000001</c:v>
                </c:pt>
                <c:pt idx="105">
                  <c:v>73.5</c:v>
                </c:pt>
                <c:pt idx="106">
                  <c:v>73.610000999999997</c:v>
                </c:pt>
                <c:pt idx="107">
                  <c:v>73.400002000000001</c:v>
                </c:pt>
                <c:pt idx="108">
                  <c:v>71.129997000000003</c:v>
                </c:pt>
                <c:pt idx="109">
                  <c:v>69.470000999999996</c:v>
                </c:pt>
                <c:pt idx="110">
                  <c:v>66.220000999999996</c:v>
                </c:pt>
                <c:pt idx="111">
                  <c:v>70.269997000000004</c:v>
                </c:pt>
                <c:pt idx="112">
                  <c:v>71.970000999999996</c:v>
                </c:pt>
                <c:pt idx="113">
                  <c:v>70.480002999999996</c:v>
                </c:pt>
                <c:pt idx="114">
                  <c:v>70.879997000000003</c:v>
                </c:pt>
                <c:pt idx="115">
                  <c:v>71.940002000000007</c:v>
                </c:pt>
                <c:pt idx="116">
                  <c:v>72.120002999999997</c:v>
                </c:pt>
                <c:pt idx="117">
                  <c:v>73.029999000000004</c:v>
                </c:pt>
                <c:pt idx="118">
                  <c:v>73.699996999999996</c:v>
                </c:pt>
                <c:pt idx="119">
                  <c:v>73.029999000000004</c:v>
                </c:pt>
                <c:pt idx="120">
                  <c:v>72.650002000000001</c:v>
                </c:pt>
                <c:pt idx="121">
                  <c:v>73.449996999999996</c:v>
                </c:pt>
                <c:pt idx="122">
                  <c:v>72.919998000000007</c:v>
                </c:pt>
                <c:pt idx="123">
                  <c:v>72.970000999999996</c:v>
                </c:pt>
                <c:pt idx="124">
                  <c:v>73.589995999999999</c:v>
                </c:pt>
                <c:pt idx="125">
                  <c:v>75.180000000000007</c:v>
                </c:pt>
                <c:pt idx="126">
                  <c:v>72.389999000000003</c:v>
                </c:pt>
                <c:pt idx="127">
                  <c:v>71.5</c:v>
                </c:pt>
                <c:pt idx="128">
                  <c:v>73.510002</c:v>
                </c:pt>
                <c:pt idx="129">
                  <c:v>73.5</c:v>
                </c:pt>
                <c:pt idx="130">
                  <c:v>72.739998</c:v>
                </c:pt>
                <c:pt idx="131">
                  <c:v>70.769997000000004</c:v>
                </c:pt>
                <c:pt idx="132">
                  <c:v>71.730002999999996</c:v>
                </c:pt>
                <c:pt idx="133">
                  <c:v>71.680000000000007</c:v>
                </c:pt>
                <c:pt idx="134">
                  <c:v>72.260002</c:v>
                </c:pt>
                <c:pt idx="135">
                  <c:v>71.040001000000004</c:v>
                </c:pt>
                <c:pt idx="136">
                  <c:v>72.889999000000003</c:v>
                </c:pt>
                <c:pt idx="137">
                  <c:v>70.410004000000001</c:v>
                </c:pt>
                <c:pt idx="138">
                  <c:v>72</c:v>
                </c:pt>
                <c:pt idx="139">
                  <c:v>71.190002000000007</c:v>
                </c:pt>
                <c:pt idx="140">
                  <c:v>70.669998000000007</c:v>
                </c:pt>
                <c:pt idx="141">
                  <c:v>70.059997999999993</c:v>
                </c:pt>
                <c:pt idx="142">
                  <c:v>73</c:v>
                </c:pt>
                <c:pt idx="143">
                  <c:v>71.930000000000007</c:v>
                </c:pt>
                <c:pt idx="144">
                  <c:v>70.040001000000004</c:v>
                </c:pt>
                <c:pt idx="145">
                  <c:v>70.5</c:v>
                </c:pt>
                <c:pt idx="146">
                  <c:v>71.800003000000004</c:v>
                </c:pt>
                <c:pt idx="147">
                  <c:v>73.370002999999997</c:v>
                </c:pt>
                <c:pt idx="148">
                  <c:v>75.220000999999996</c:v>
                </c:pt>
                <c:pt idx="149">
                  <c:v>74.599997999999999</c:v>
                </c:pt>
                <c:pt idx="150">
                  <c:v>74.800003000000004</c:v>
                </c:pt>
                <c:pt idx="151">
                  <c:v>76.430000000000007</c:v>
                </c:pt>
                <c:pt idx="152">
                  <c:v>76.809997999999993</c:v>
                </c:pt>
                <c:pt idx="153">
                  <c:v>81.900002000000001</c:v>
                </c:pt>
                <c:pt idx="154">
                  <c:v>79.569999999999993</c:v>
                </c:pt>
                <c:pt idx="155">
                  <c:v>81.069999999999993</c:v>
                </c:pt>
                <c:pt idx="156">
                  <c:v>80.260002</c:v>
                </c:pt>
                <c:pt idx="157">
                  <c:v>81.559997999999993</c:v>
                </c:pt>
                <c:pt idx="158">
                  <c:v>81.569999999999993</c:v>
                </c:pt>
                <c:pt idx="159">
                  <c:v>82.879997000000003</c:v>
                </c:pt>
                <c:pt idx="160">
                  <c:v>83.489998</c:v>
                </c:pt>
                <c:pt idx="161">
                  <c:v>85.730002999999996</c:v>
                </c:pt>
                <c:pt idx="162">
                  <c:v>85.57</c:v>
                </c:pt>
                <c:pt idx="163">
                  <c:v>85.910004000000001</c:v>
                </c:pt>
                <c:pt idx="164">
                  <c:v>85.379997000000003</c:v>
                </c:pt>
                <c:pt idx="165">
                  <c:v>87.5</c:v>
                </c:pt>
                <c:pt idx="166">
                  <c:v>85.580001999999993</c:v>
                </c:pt>
                <c:pt idx="167">
                  <c:v>86.989998</c:v>
                </c:pt>
                <c:pt idx="168">
                  <c:v>87.400002000000001</c:v>
                </c:pt>
                <c:pt idx="169">
                  <c:v>86.489998</c:v>
                </c:pt>
                <c:pt idx="170">
                  <c:v>83.709998999999996</c:v>
                </c:pt>
                <c:pt idx="171">
                  <c:v>82</c:v>
                </c:pt>
                <c:pt idx="172">
                  <c:v>81.870002999999997</c:v>
                </c:pt>
                <c:pt idx="173">
                  <c:v>82.25</c:v>
                </c:pt>
                <c:pt idx="174">
                  <c:v>83.089995999999999</c:v>
                </c:pt>
                <c:pt idx="175">
                  <c:v>83.580001999999993</c:v>
                </c:pt>
                <c:pt idx="176">
                  <c:v>82.050003000000004</c:v>
                </c:pt>
                <c:pt idx="177">
                  <c:v>83.370002999999997</c:v>
                </c:pt>
                <c:pt idx="178">
                  <c:v>85.660004000000001</c:v>
                </c:pt>
                <c:pt idx="179">
                  <c:v>85.790001000000004</c:v>
                </c:pt>
                <c:pt idx="180">
                  <c:v>86.980002999999996</c:v>
                </c:pt>
                <c:pt idx="181">
                  <c:v>86.080001999999993</c:v>
                </c:pt>
                <c:pt idx="182">
                  <c:v>84.419998000000007</c:v>
                </c:pt>
              </c:numCache>
            </c:numRef>
          </c:val>
          <c:smooth val="0"/>
          <c:extLst>
            <c:ext xmlns:c16="http://schemas.microsoft.com/office/drawing/2014/chart" uri="{C3380CC4-5D6E-409C-BE32-E72D297353CC}">
              <c16:uniqueId val="{00000000-907E-4874-BE57-701E8237671A}"/>
            </c:ext>
          </c:extLst>
        </c:ser>
        <c:ser>
          <c:idx val="1"/>
          <c:order val="1"/>
          <c:tx>
            <c:v>MMS(5)</c:v>
          </c:tx>
          <c:spPr>
            <a:ln w="12700" cap="rnd">
              <a:solidFill>
                <a:schemeClr val="accent2"/>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Datos!$F$21:$F$203</c:f>
              <c:numCache>
                <c:formatCode>General</c:formatCode>
                <c:ptCount val="183"/>
                <c:pt idx="0">
                  <c:v>58.402000599999994</c:v>
                </c:pt>
                <c:pt idx="1">
                  <c:v>58.664000000000001</c:v>
                </c:pt>
                <c:pt idx="2">
                  <c:v>59.189999399999998</c:v>
                </c:pt>
                <c:pt idx="3">
                  <c:v>59.655999599999994</c:v>
                </c:pt>
                <c:pt idx="4">
                  <c:v>60.595999800000001</c:v>
                </c:pt>
                <c:pt idx="5">
                  <c:v>61.615999599999995</c:v>
                </c:pt>
                <c:pt idx="6">
                  <c:v>61.996000000000002</c:v>
                </c:pt>
                <c:pt idx="7">
                  <c:v>61.8739998</c:v>
                </c:pt>
                <c:pt idx="8">
                  <c:v>61.761999599999989</c:v>
                </c:pt>
                <c:pt idx="9">
                  <c:v>61.009999800000003</c:v>
                </c:pt>
                <c:pt idx="10">
                  <c:v>59.827999800000001</c:v>
                </c:pt>
                <c:pt idx="11">
                  <c:v>58.658000199999989</c:v>
                </c:pt>
                <c:pt idx="12">
                  <c:v>58.312000400000002</c:v>
                </c:pt>
                <c:pt idx="13">
                  <c:v>57.968000199999992</c:v>
                </c:pt>
                <c:pt idx="14">
                  <c:v>58.046000200000002</c:v>
                </c:pt>
                <c:pt idx="15">
                  <c:v>57.8860004</c:v>
                </c:pt>
                <c:pt idx="16">
                  <c:v>57.724000000000004</c:v>
                </c:pt>
                <c:pt idx="17">
                  <c:v>57.366000599999992</c:v>
                </c:pt>
                <c:pt idx="18">
                  <c:v>57.038000599999997</c:v>
                </c:pt>
                <c:pt idx="19">
                  <c:v>56.354000199999994</c:v>
                </c:pt>
                <c:pt idx="20">
                  <c:v>57.130000400000007</c:v>
                </c:pt>
                <c:pt idx="21">
                  <c:v>58.484000600000002</c:v>
                </c:pt>
                <c:pt idx="22">
                  <c:v>59.866000600000007</c:v>
                </c:pt>
                <c:pt idx="23">
                  <c:v>62.056000000000004</c:v>
                </c:pt>
                <c:pt idx="24">
                  <c:v>63.227999999999994</c:v>
                </c:pt>
                <c:pt idx="25">
                  <c:v>62.787999800000001</c:v>
                </c:pt>
                <c:pt idx="26">
                  <c:v>62.407999400000008</c:v>
                </c:pt>
                <c:pt idx="27">
                  <c:v>62.079998599999996</c:v>
                </c:pt>
                <c:pt idx="28">
                  <c:v>60.727999799999999</c:v>
                </c:pt>
                <c:pt idx="29">
                  <c:v>60.372</c:v>
                </c:pt>
                <c:pt idx="30">
                  <c:v>60.140000000000008</c:v>
                </c:pt>
                <c:pt idx="31">
                  <c:v>59.872</c:v>
                </c:pt>
                <c:pt idx="32">
                  <c:v>59.202000399999996</c:v>
                </c:pt>
                <c:pt idx="33">
                  <c:v>58.822000000000003</c:v>
                </c:pt>
                <c:pt idx="34">
                  <c:v>58.5620002</c:v>
                </c:pt>
                <c:pt idx="35">
                  <c:v>58.369999600000007</c:v>
                </c:pt>
                <c:pt idx="36">
                  <c:v>57.787999599999999</c:v>
                </c:pt>
                <c:pt idx="37">
                  <c:v>57.7599996</c:v>
                </c:pt>
                <c:pt idx="38">
                  <c:v>57.777999600000001</c:v>
                </c:pt>
                <c:pt idx="39">
                  <c:v>57.603999000000002</c:v>
                </c:pt>
                <c:pt idx="40">
                  <c:v>58.077999599999998</c:v>
                </c:pt>
                <c:pt idx="41">
                  <c:v>59.017999799999998</c:v>
                </c:pt>
                <c:pt idx="42">
                  <c:v>59.751999599999998</c:v>
                </c:pt>
                <c:pt idx="43">
                  <c:v>60.265999600000001</c:v>
                </c:pt>
                <c:pt idx="44">
                  <c:v>61.590000199999999</c:v>
                </c:pt>
                <c:pt idx="45">
                  <c:v>62.614000799999999</c:v>
                </c:pt>
                <c:pt idx="46">
                  <c:v>62.878000800000009</c:v>
                </c:pt>
                <c:pt idx="47">
                  <c:v>63.026000999999994</c:v>
                </c:pt>
                <c:pt idx="48">
                  <c:v>63.496000800000004</c:v>
                </c:pt>
                <c:pt idx="49">
                  <c:v>63.266000600000005</c:v>
                </c:pt>
                <c:pt idx="50">
                  <c:v>62.977999999999994</c:v>
                </c:pt>
                <c:pt idx="51">
                  <c:v>63.385999400000003</c:v>
                </c:pt>
                <c:pt idx="52">
                  <c:v>63.229999799999995</c:v>
                </c:pt>
                <c:pt idx="53">
                  <c:v>63.000000200000002</c:v>
                </c:pt>
                <c:pt idx="54">
                  <c:v>62.430000400000004</c:v>
                </c:pt>
                <c:pt idx="55">
                  <c:v>62.305999799999995</c:v>
                </c:pt>
                <c:pt idx="56">
                  <c:v>61.928000599999997</c:v>
                </c:pt>
                <c:pt idx="57">
                  <c:v>62.149999800000003</c:v>
                </c:pt>
                <c:pt idx="58">
                  <c:v>62.513999800000001</c:v>
                </c:pt>
                <c:pt idx="59">
                  <c:v>62.709999799999991</c:v>
                </c:pt>
                <c:pt idx="60">
                  <c:v>62.888000599999998</c:v>
                </c:pt>
                <c:pt idx="61">
                  <c:v>63.058000400000005</c:v>
                </c:pt>
                <c:pt idx="62">
                  <c:v>63.318001000000002</c:v>
                </c:pt>
                <c:pt idx="63">
                  <c:v>63.688000599999995</c:v>
                </c:pt>
                <c:pt idx="64">
                  <c:v>64.548000400000006</c:v>
                </c:pt>
                <c:pt idx="65">
                  <c:v>65.019999600000006</c:v>
                </c:pt>
                <c:pt idx="66">
                  <c:v>65.398000199999998</c:v>
                </c:pt>
                <c:pt idx="67">
                  <c:v>65.797999599999997</c:v>
                </c:pt>
                <c:pt idx="68">
                  <c:v>66.519999799999994</c:v>
                </c:pt>
                <c:pt idx="69">
                  <c:v>66.755999799999998</c:v>
                </c:pt>
                <c:pt idx="70">
                  <c:v>67.56800100000001</c:v>
                </c:pt>
                <c:pt idx="71">
                  <c:v>68.430000400000011</c:v>
                </c:pt>
                <c:pt idx="72">
                  <c:v>69.38800040000001</c:v>
                </c:pt>
                <c:pt idx="73">
                  <c:v>69.6260008</c:v>
                </c:pt>
                <c:pt idx="74">
                  <c:v>69.848001000000011</c:v>
                </c:pt>
                <c:pt idx="75">
                  <c:v>69.676000800000011</c:v>
                </c:pt>
                <c:pt idx="76">
                  <c:v>69.762001000000012</c:v>
                </c:pt>
                <c:pt idx="77">
                  <c:v>70.162001000000004</c:v>
                </c:pt>
                <c:pt idx="78">
                  <c:v>70.310000600000009</c:v>
                </c:pt>
                <c:pt idx="79">
                  <c:v>71.066000399999993</c:v>
                </c:pt>
                <c:pt idx="80">
                  <c:v>71.738000599999992</c:v>
                </c:pt>
                <c:pt idx="81">
                  <c:v>72.316000399999993</c:v>
                </c:pt>
                <c:pt idx="82">
                  <c:v>72.684001199999997</c:v>
                </c:pt>
                <c:pt idx="83">
                  <c:v>73.232000800000009</c:v>
                </c:pt>
                <c:pt idx="84">
                  <c:v>73.6320008</c:v>
                </c:pt>
                <c:pt idx="85">
                  <c:v>73.763999999999996</c:v>
                </c:pt>
                <c:pt idx="86">
                  <c:v>74.180000399999997</c:v>
                </c:pt>
                <c:pt idx="87">
                  <c:v>73.700000200000005</c:v>
                </c:pt>
                <c:pt idx="88">
                  <c:v>73.082000999999991</c:v>
                </c:pt>
                <c:pt idx="89">
                  <c:v>72.726001200000013</c:v>
                </c:pt>
                <c:pt idx="90">
                  <c:v>72.428001599999988</c:v>
                </c:pt>
                <c:pt idx="91">
                  <c:v>71.582000799999989</c:v>
                </c:pt>
                <c:pt idx="92">
                  <c:v>71.206001400000005</c:v>
                </c:pt>
                <c:pt idx="93">
                  <c:v>71.602000399999994</c:v>
                </c:pt>
                <c:pt idx="94">
                  <c:v>72.252000400000014</c:v>
                </c:pt>
                <c:pt idx="95">
                  <c:v>73.197999600000003</c:v>
                </c:pt>
                <c:pt idx="96">
                  <c:v>74.292000000000002</c:v>
                </c:pt>
                <c:pt idx="97">
                  <c:v>75.597999600000009</c:v>
                </c:pt>
                <c:pt idx="98">
                  <c:v>76.019999800000008</c:v>
                </c:pt>
                <c:pt idx="99">
                  <c:v>75.865999000000002</c:v>
                </c:pt>
                <c:pt idx="100">
                  <c:v>75.391999799999994</c:v>
                </c:pt>
                <c:pt idx="101">
                  <c:v>74.839999399999996</c:v>
                </c:pt>
                <c:pt idx="102">
                  <c:v>74.213998599999996</c:v>
                </c:pt>
                <c:pt idx="103">
                  <c:v>74.069998400000003</c:v>
                </c:pt>
                <c:pt idx="104">
                  <c:v>73.845999400000011</c:v>
                </c:pt>
                <c:pt idx="105">
                  <c:v>73.757998999999998</c:v>
                </c:pt>
                <c:pt idx="106">
                  <c:v>73.76799960000001</c:v>
                </c:pt>
                <c:pt idx="107">
                  <c:v>73.736000400000009</c:v>
                </c:pt>
                <c:pt idx="108">
                  <c:v>73.058000399999997</c:v>
                </c:pt>
                <c:pt idx="109">
                  <c:v>72.222000199999997</c:v>
                </c:pt>
                <c:pt idx="110">
                  <c:v>70.76600040000001</c:v>
                </c:pt>
                <c:pt idx="111">
                  <c:v>70.097999600000009</c:v>
                </c:pt>
                <c:pt idx="112">
                  <c:v>69.811999399999991</c:v>
                </c:pt>
                <c:pt idx="113">
                  <c:v>69.682000599999995</c:v>
                </c:pt>
                <c:pt idx="114">
                  <c:v>69.963999799999996</c:v>
                </c:pt>
                <c:pt idx="115">
                  <c:v>71.108000000000004</c:v>
                </c:pt>
                <c:pt idx="116">
                  <c:v>71.478001199999994</c:v>
                </c:pt>
                <c:pt idx="117">
                  <c:v>71.690000800000007</c:v>
                </c:pt>
                <c:pt idx="118">
                  <c:v>72.333999599999999</c:v>
                </c:pt>
                <c:pt idx="119">
                  <c:v>72.763999999999982</c:v>
                </c:pt>
                <c:pt idx="120">
                  <c:v>72.905999999999992</c:v>
                </c:pt>
                <c:pt idx="121">
                  <c:v>73.171998799999997</c:v>
                </c:pt>
                <c:pt idx="122">
                  <c:v>73.149998600000004</c:v>
                </c:pt>
                <c:pt idx="123">
                  <c:v>73.003999399999998</c:v>
                </c:pt>
                <c:pt idx="124">
                  <c:v>73.1159988</c:v>
                </c:pt>
                <c:pt idx="125">
                  <c:v>73.62199840000001</c:v>
                </c:pt>
                <c:pt idx="126">
                  <c:v>73.409998799999997</c:v>
                </c:pt>
                <c:pt idx="127">
                  <c:v>73.125999199999995</c:v>
                </c:pt>
                <c:pt idx="128">
                  <c:v>73.233999399999988</c:v>
                </c:pt>
                <c:pt idx="129">
                  <c:v>73.216000199999996</c:v>
                </c:pt>
                <c:pt idx="130">
                  <c:v>72.727999799999992</c:v>
                </c:pt>
                <c:pt idx="131">
                  <c:v>72.403999400000004</c:v>
                </c:pt>
                <c:pt idx="132">
                  <c:v>72.45</c:v>
                </c:pt>
                <c:pt idx="133">
                  <c:v>72.083999599999999</c:v>
                </c:pt>
                <c:pt idx="134">
                  <c:v>71.835999999999999</c:v>
                </c:pt>
                <c:pt idx="135">
                  <c:v>71.496000600000002</c:v>
                </c:pt>
                <c:pt idx="136">
                  <c:v>71.920000999999999</c:v>
                </c:pt>
                <c:pt idx="137">
                  <c:v>71.656001200000006</c:v>
                </c:pt>
                <c:pt idx="138">
                  <c:v>71.720001199999999</c:v>
                </c:pt>
                <c:pt idx="139">
                  <c:v>71.5060012</c:v>
                </c:pt>
                <c:pt idx="140">
                  <c:v>71.432000600000009</c:v>
                </c:pt>
                <c:pt idx="141">
                  <c:v>70.866000400000004</c:v>
                </c:pt>
                <c:pt idx="142">
                  <c:v>71.38399960000001</c:v>
                </c:pt>
                <c:pt idx="143">
                  <c:v>71.3699996</c:v>
                </c:pt>
                <c:pt idx="144">
                  <c:v>71.139999399999994</c:v>
                </c:pt>
                <c:pt idx="145">
                  <c:v>71.105999800000006</c:v>
                </c:pt>
                <c:pt idx="146">
                  <c:v>71.454000800000003</c:v>
                </c:pt>
                <c:pt idx="147">
                  <c:v>71.528001400000008</c:v>
                </c:pt>
                <c:pt idx="148">
                  <c:v>72.186001600000012</c:v>
                </c:pt>
                <c:pt idx="149">
                  <c:v>73.098000999999996</c:v>
                </c:pt>
                <c:pt idx="150">
                  <c:v>73.958001600000003</c:v>
                </c:pt>
                <c:pt idx="151">
                  <c:v>74.884000999999998</c:v>
                </c:pt>
                <c:pt idx="152">
                  <c:v>75.572000000000003</c:v>
                </c:pt>
                <c:pt idx="153">
                  <c:v>76.908000199999989</c:v>
                </c:pt>
                <c:pt idx="154">
                  <c:v>77.902000600000008</c:v>
                </c:pt>
                <c:pt idx="155">
                  <c:v>79.156000000000006</c:v>
                </c:pt>
                <c:pt idx="156">
                  <c:v>79.922000399999988</c:v>
                </c:pt>
                <c:pt idx="157">
                  <c:v>80.872000400000005</c:v>
                </c:pt>
                <c:pt idx="158">
                  <c:v>80.805999999999997</c:v>
                </c:pt>
                <c:pt idx="159">
                  <c:v>81.467999399999997</c:v>
                </c:pt>
                <c:pt idx="160">
                  <c:v>81.951999000000001</c:v>
                </c:pt>
                <c:pt idx="161">
                  <c:v>83.045999200000011</c:v>
                </c:pt>
                <c:pt idx="162">
                  <c:v>83.847999600000009</c:v>
                </c:pt>
                <c:pt idx="163">
                  <c:v>84.716000400000013</c:v>
                </c:pt>
                <c:pt idx="164">
                  <c:v>85.216000399999999</c:v>
                </c:pt>
                <c:pt idx="165">
                  <c:v>86.01800080000001</c:v>
                </c:pt>
                <c:pt idx="166">
                  <c:v>85.988000599999992</c:v>
                </c:pt>
                <c:pt idx="167">
                  <c:v>86.272000200000008</c:v>
                </c:pt>
                <c:pt idx="168">
                  <c:v>86.569999800000005</c:v>
                </c:pt>
                <c:pt idx="169">
                  <c:v>86.792000000000002</c:v>
                </c:pt>
                <c:pt idx="170">
                  <c:v>86.033999800000004</c:v>
                </c:pt>
                <c:pt idx="171">
                  <c:v>85.317999399999991</c:v>
                </c:pt>
                <c:pt idx="172">
                  <c:v>84.294000399999987</c:v>
                </c:pt>
                <c:pt idx="173">
                  <c:v>83.263999999999996</c:v>
                </c:pt>
                <c:pt idx="174">
                  <c:v>82.583999599999999</c:v>
                </c:pt>
                <c:pt idx="175">
                  <c:v>82.558000199999995</c:v>
                </c:pt>
                <c:pt idx="176">
                  <c:v>82.568000799999993</c:v>
                </c:pt>
                <c:pt idx="177">
                  <c:v>82.86800079999999</c:v>
                </c:pt>
                <c:pt idx="178">
                  <c:v>83.550001600000002</c:v>
                </c:pt>
                <c:pt idx="179">
                  <c:v>84.090002600000005</c:v>
                </c:pt>
                <c:pt idx="180">
                  <c:v>84.770002800000015</c:v>
                </c:pt>
                <c:pt idx="181">
                  <c:v>85.57600260000001</c:v>
                </c:pt>
                <c:pt idx="182">
                  <c:v>85.786001599999992</c:v>
                </c:pt>
              </c:numCache>
            </c:numRef>
          </c:val>
          <c:smooth val="0"/>
          <c:extLst>
            <c:ext xmlns:c16="http://schemas.microsoft.com/office/drawing/2014/chart" uri="{C3380CC4-5D6E-409C-BE32-E72D297353CC}">
              <c16:uniqueId val="{00000001-907E-4874-BE57-701E8237671A}"/>
            </c:ext>
          </c:extLst>
        </c:ser>
        <c:ser>
          <c:idx val="2"/>
          <c:order val="2"/>
          <c:tx>
            <c:v>MMS(20)</c:v>
          </c:tx>
          <c:spPr>
            <a:ln w="12700" cap="rnd">
              <a:solidFill>
                <a:schemeClr val="accent3"/>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Datos!$G$21:$G$203</c:f>
              <c:numCache>
                <c:formatCode>General</c:formatCode>
                <c:ptCount val="183"/>
                <c:pt idx="0">
                  <c:v>58.032000249999996</c:v>
                </c:pt>
                <c:pt idx="1">
                  <c:v>57.908500149999995</c:v>
                </c:pt>
                <c:pt idx="2">
                  <c:v>57.797999999999988</c:v>
                </c:pt>
                <c:pt idx="3">
                  <c:v>57.705999949999999</c:v>
                </c:pt>
                <c:pt idx="4">
                  <c:v>57.894499999999994</c:v>
                </c:pt>
                <c:pt idx="5">
                  <c:v>58.238500049999992</c:v>
                </c:pt>
                <c:pt idx="6">
                  <c:v>58.703499999999998</c:v>
                </c:pt>
                <c:pt idx="7">
                  <c:v>58.968499950000002</c:v>
                </c:pt>
                <c:pt idx="8">
                  <c:v>59.120500000000007</c:v>
                </c:pt>
                <c:pt idx="9">
                  <c:v>59.226500149999993</c:v>
                </c:pt>
                <c:pt idx="10">
                  <c:v>59.314500050000007</c:v>
                </c:pt>
                <c:pt idx="11">
                  <c:v>59.387000100000002</c:v>
                </c:pt>
                <c:pt idx="12">
                  <c:v>59.462500050000003</c:v>
                </c:pt>
                <c:pt idx="13">
                  <c:v>59.407000050000008</c:v>
                </c:pt>
                <c:pt idx="14">
                  <c:v>59.451500050000007</c:v>
                </c:pt>
                <c:pt idx="15">
                  <c:v>59.433000100000001</c:v>
                </c:pt>
                <c:pt idx="16">
                  <c:v>59.260500049999983</c:v>
                </c:pt>
                <c:pt idx="17">
                  <c:v>59.185500049999987</c:v>
                </c:pt>
                <c:pt idx="18">
                  <c:v>59.105999999999995</c:v>
                </c:pt>
                <c:pt idx="19">
                  <c:v>59.0015</c:v>
                </c:pt>
                <c:pt idx="20">
                  <c:v>59.115000049999992</c:v>
                </c:pt>
                <c:pt idx="21">
                  <c:v>59.215500199999994</c:v>
                </c:pt>
                <c:pt idx="22">
                  <c:v>59.354500350000002</c:v>
                </c:pt>
                <c:pt idx="23">
                  <c:v>59.706000099999997</c:v>
                </c:pt>
                <c:pt idx="24">
                  <c:v>59.659500050000005</c:v>
                </c:pt>
                <c:pt idx="25">
                  <c:v>59.408000100000002</c:v>
                </c:pt>
                <c:pt idx="26">
                  <c:v>59.318500049999997</c:v>
                </c:pt>
                <c:pt idx="27">
                  <c:v>59.406000049999989</c:v>
                </c:pt>
                <c:pt idx="28">
                  <c:v>59.447500149999982</c:v>
                </c:pt>
                <c:pt idx="29">
                  <c:v>59.500000100000001</c:v>
                </c:pt>
                <c:pt idx="30">
                  <c:v>59.486000149999995</c:v>
                </c:pt>
                <c:pt idx="31">
                  <c:v>59.622</c:v>
                </c:pt>
                <c:pt idx="32">
                  <c:v>59.62850005</c:v>
                </c:pt>
                <c:pt idx="33">
                  <c:v>59.661000100000003</c:v>
                </c:pt>
                <c:pt idx="34">
                  <c:v>59.629000099999999</c:v>
                </c:pt>
                <c:pt idx="35">
                  <c:v>59.606999950000002</c:v>
                </c:pt>
                <c:pt idx="36">
                  <c:v>59.637999899999997</c:v>
                </c:pt>
                <c:pt idx="37">
                  <c:v>59.726999800000002</c:v>
                </c:pt>
                <c:pt idx="38">
                  <c:v>59.845999849999998</c:v>
                </c:pt>
                <c:pt idx="39">
                  <c:v>59.941499799999988</c:v>
                </c:pt>
                <c:pt idx="40">
                  <c:v>59.843999750000002</c:v>
                </c:pt>
                <c:pt idx="41">
                  <c:v>59.771499700000007</c:v>
                </c:pt>
                <c:pt idx="42">
                  <c:v>59.698499549999994</c:v>
                </c:pt>
                <c:pt idx="43">
                  <c:v>59.398499749999985</c:v>
                </c:pt>
                <c:pt idx="44">
                  <c:v>59.531999849999991</c:v>
                </c:pt>
                <c:pt idx="45">
                  <c:v>59.800499999999985</c:v>
                </c:pt>
                <c:pt idx="46">
                  <c:v>59.889000050000007</c:v>
                </c:pt>
                <c:pt idx="47">
                  <c:v>59.935000150000008</c:v>
                </c:pt>
                <c:pt idx="48">
                  <c:v>60.090499999999999</c:v>
                </c:pt>
                <c:pt idx="49">
                  <c:v>60.255499999999998</c:v>
                </c:pt>
                <c:pt idx="50">
                  <c:v>60.509999999999977</c:v>
                </c:pt>
                <c:pt idx="51">
                  <c:v>60.767499899999983</c:v>
                </c:pt>
                <c:pt idx="52">
                  <c:v>60.941999999999993</c:v>
                </c:pt>
                <c:pt idx="53">
                  <c:v>61.135000050000016</c:v>
                </c:pt>
                <c:pt idx="54">
                  <c:v>61.222500050000008</c:v>
                </c:pt>
                <c:pt idx="55">
                  <c:v>61.49400004999999</c:v>
                </c:pt>
                <c:pt idx="56">
                  <c:v>61.802500149999993</c:v>
                </c:pt>
                <c:pt idx="57">
                  <c:v>62.039500049999994</c:v>
                </c:pt>
                <c:pt idx="58">
                  <c:v>62.319000099999997</c:v>
                </c:pt>
                <c:pt idx="59">
                  <c:v>62.499000250000009</c:v>
                </c:pt>
                <c:pt idx="60">
                  <c:v>62.696500300000004</c:v>
                </c:pt>
                <c:pt idx="61">
                  <c:v>62.812500299999996</c:v>
                </c:pt>
                <c:pt idx="62">
                  <c:v>62.931000400000002</c:v>
                </c:pt>
                <c:pt idx="63">
                  <c:v>63.174500350000002</c:v>
                </c:pt>
                <c:pt idx="64">
                  <c:v>63.238500299999998</c:v>
                </c:pt>
                <c:pt idx="65">
                  <c:v>63.297999999999988</c:v>
                </c:pt>
                <c:pt idx="66">
                  <c:v>63.442500150000001</c:v>
                </c:pt>
                <c:pt idx="67">
                  <c:v>63.624000049999992</c:v>
                </c:pt>
                <c:pt idx="68">
                  <c:v>63.930500100000003</c:v>
                </c:pt>
                <c:pt idx="69">
                  <c:v>64.111000099999998</c:v>
                </c:pt>
                <c:pt idx="70">
                  <c:v>64.445500250000009</c:v>
                </c:pt>
                <c:pt idx="71">
                  <c:v>64.70350040000001</c:v>
                </c:pt>
                <c:pt idx="72">
                  <c:v>65.163500200000001</c:v>
                </c:pt>
                <c:pt idx="73">
                  <c:v>65.587000250000003</c:v>
                </c:pt>
                <c:pt idx="74">
                  <c:v>65.965500250000005</c:v>
                </c:pt>
                <c:pt idx="75">
                  <c:v>66.288000499999995</c:v>
                </c:pt>
                <c:pt idx="76">
                  <c:v>66.662000500000005</c:v>
                </c:pt>
                <c:pt idx="77">
                  <c:v>67.166500500000012</c:v>
                </c:pt>
                <c:pt idx="78">
                  <c:v>67.536000449999989</c:v>
                </c:pt>
                <c:pt idx="79">
                  <c:v>68.054500399999995</c:v>
                </c:pt>
                <c:pt idx="80">
                  <c:v>68.500500500000001</c:v>
                </c:pt>
                <c:pt idx="81">
                  <c:v>68.9765005</c:v>
                </c:pt>
                <c:pt idx="82">
                  <c:v>69.508000549999991</c:v>
                </c:pt>
                <c:pt idx="83">
                  <c:v>69.922000499999996</c:v>
                </c:pt>
                <c:pt idx="84">
                  <c:v>70.325500500000004</c:v>
                </c:pt>
                <c:pt idx="85">
                  <c:v>70.686500600000002</c:v>
                </c:pt>
                <c:pt idx="86">
                  <c:v>71.172000549999979</c:v>
                </c:pt>
                <c:pt idx="87">
                  <c:v>71.483500699999993</c:v>
                </c:pt>
                <c:pt idx="88">
                  <c:v>71.562500799999995</c:v>
                </c:pt>
                <c:pt idx="89">
                  <c:v>71.818000850000004</c:v>
                </c:pt>
                <c:pt idx="90">
                  <c:v>71.901500749999997</c:v>
                </c:pt>
                <c:pt idx="91">
                  <c:v>71.960000650000012</c:v>
                </c:pt>
                <c:pt idx="92">
                  <c:v>71.938000950000003</c:v>
                </c:pt>
                <c:pt idx="93">
                  <c:v>72.056500700000001</c:v>
                </c:pt>
                <c:pt idx="94">
                  <c:v>72.419000699999998</c:v>
                </c:pt>
                <c:pt idx="95">
                  <c:v>72.782000449999984</c:v>
                </c:pt>
                <c:pt idx="96">
                  <c:v>73.092500399999992</c:v>
                </c:pt>
                <c:pt idx="97">
                  <c:v>73.297000600000004</c:v>
                </c:pt>
                <c:pt idx="98">
                  <c:v>73.484000500000008</c:v>
                </c:pt>
                <c:pt idx="99">
                  <c:v>73.619000349999993</c:v>
                </c:pt>
                <c:pt idx="100">
                  <c:v>73.695500249999995</c:v>
                </c:pt>
                <c:pt idx="101">
                  <c:v>73.723500150000007</c:v>
                </c:pt>
                <c:pt idx="102">
                  <c:v>73.679499950000007</c:v>
                </c:pt>
                <c:pt idx="103">
                  <c:v>73.693499900000006</c:v>
                </c:pt>
                <c:pt idx="104">
                  <c:v>73.672500000000014</c:v>
                </c:pt>
                <c:pt idx="105">
                  <c:v>73.694000000000017</c:v>
                </c:pt>
                <c:pt idx="106">
                  <c:v>73.620499949999996</c:v>
                </c:pt>
                <c:pt idx="107">
                  <c:v>73.688500000000019</c:v>
                </c:pt>
                <c:pt idx="108">
                  <c:v>73.687499750000015</c:v>
                </c:pt>
                <c:pt idx="109">
                  <c:v>73.546499750000009</c:v>
                </c:pt>
                <c:pt idx="110">
                  <c:v>73.278499699999998</c:v>
                </c:pt>
                <c:pt idx="111">
                  <c:v>73.24949964999999</c:v>
                </c:pt>
                <c:pt idx="112">
                  <c:v>73.33999949999999</c:v>
                </c:pt>
                <c:pt idx="113">
                  <c:v>73.207499799999979</c:v>
                </c:pt>
                <c:pt idx="114">
                  <c:v>72.974499599999973</c:v>
                </c:pt>
                <c:pt idx="115">
                  <c:v>72.755999799999984</c:v>
                </c:pt>
                <c:pt idx="116">
                  <c:v>72.545999949999995</c:v>
                </c:pt>
                <c:pt idx="117">
                  <c:v>72.362999799999997</c:v>
                </c:pt>
                <c:pt idx="118">
                  <c:v>72.285999750000002</c:v>
                </c:pt>
                <c:pt idx="119">
                  <c:v>72.198999850000021</c:v>
                </c:pt>
                <c:pt idx="120">
                  <c:v>72.134499850000012</c:v>
                </c:pt>
                <c:pt idx="121">
                  <c:v>72.128999800000003</c:v>
                </c:pt>
                <c:pt idx="122">
                  <c:v>72.09699980000002</c:v>
                </c:pt>
                <c:pt idx="123">
                  <c:v>72.019500000000008</c:v>
                </c:pt>
                <c:pt idx="124">
                  <c:v>72.016499700000011</c:v>
                </c:pt>
                <c:pt idx="125">
                  <c:v>72.1004997</c:v>
                </c:pt>
                <c:pt idx="126">
                  <c:v>72.039499599999999</c:v>
                </c:pt>
                <c:pt idx="127">
                  <c:v>71.944499499999992</c:v>
                </c:pt>
                <c:pt idx="128">
                  <c:v>72.063499749999991</c:v>
                </c:pt>
                <c:pt idx="129">
                  <c:v>72.26499969999999</c:v>
                </c:pt>
                <c:pt idx="130">
                  <c:v>72.590999549999992</c:v>
                </c:pt>
                <c:pt idx="131">
                  <c:v>72.615999549999998</c:v>
                </c:pt>
                <c:pt idx="132">
                  <c:v>72.603999650000006</c:v>
                </c:pt>
                <c:pt idx="133">
                  <c:v>72.663999500000003</c:v>
                </c:pt>
                <c:pt idx="134">
                  <c:v>72.732999750000005</c:v>
                </c:pt>
                <c:pt idx="135">
                  <c:v>72.687999700000006</c:v>
                </c:pt>
                <c:pt idx="136">
                  <c:v>72.726499500000017</c:v>
                </c:pt>
                <c:pt idx="137">
                  <c:v>72.595499750000016</c:v>
                </c:pt>
                <c:pt idx="138">
                  <c:v>72.510499899999999</c:v>
                </c:pt>
                <c:pt idx="139">
                  <c:v>72.418500050000006</c:v>
                </c:pt>
                <c:pt idx="140">
                  <c:v>72.319499850000014</c:v>
                </c:pt>
                <c:pt idx="141">
                  <c:v>72.149999900000012</c:v>
                </c:pt>
                <c:pt idx="142">
                  <c:v>72.153999999999996</c:v>
                </c:pt>
                <c:pt idx="143">
                  <c:v>72.101999950000007</c:v>
                </c:pt>
                <c:pt idx="144">
                  <c:v>71.924500199999997</c:v>
                </c:pt>
                <c:pt idx="145">
                  <c:v>71.690500200000002</c:v>
                </c:pt>
                <c:pt idx="146">
                  <c:v>71.661000400000006</c:v>
                </c:pt>
                <c:pt idx="147">
                  <c:v>71.754500550000003</c:v>
                </c:pt>
                <c:pt idx="148">
                  <c:v>71.840000500000002</c:v>
                </c:pt>
                <c:pt idx="149">
                  <c:v>71.895000399999986</c:v>
                </c:pt>
                <c:pt idx="150">
                  <c:v>71.998000649999994</c:v>
                </c:pt>
                <c:pt idx="151">
                  <c:v>72.281000799999987</c:v>
                </c:pt>
                <c:pt idx="152">
                  <c:v>72.535000549999978</c:v>
                </c:pt>
                <c:pt idx="153">
                  <c:v>73.046000649999996</c:v>
                </c:pt>
                <c:pt idx="154">
                  <c:v>73.41150055</c:v>
                </c:pt>
                <c:pt idx="155">
                  <c:v>73.913000499999995</c:v>
                </c:pt>
                <c:pt idx="156">
                  <c:v>74.281500650000012</c:v>
                </c:pt>
                <c:pt idx="157">
                  <c:v>74.839000350000006</c:v>
                </c:pt>
                <c:pt idx="158">
                  <c:v>75.317500350000003</c:v>
                </c:pt>
                <c:pt idx="159">
                  <c:v>75.902000099999995</c:v>
                </c:pt>
                <c:pt idx="160">
                  <c:v>76.5430001</c:v>
                </c:pt>
                <c:pt idx="161">
                  <c:v>77.326500349999989</c:v>
                </c:pt>
                <c:pt idx="162">
                  <c:v>77.955000349999992</c:v>
                </c:pt>
                <c:pt idx="163">
                  <c:v>78.654000549999992</c:v>
                </c:pt>
                <c:pt idx="164">
                  <c:v>79.421000349999986</c:v>
                </c:pt>
                <c:pt idx="165">
                  <c:v>80.27100034999998</c:v>
                </c:pt>
                <c:pt idx="166">
                  <c:v>80.960000299999976</c:v>
                </c:pt>
                <c:pt idx="167">
                  <c:v>81.641000049999974</c:v>
                </c:pt>
                <c:pt idx="168">
                  <c:v>82.250000099999994</c:v>
                </c:pt>
                <c:pt idx="169">
                  <c:v>82.844500100000005</c:v>
                </c:pt>
                <c:pt idx="170">
                  <c:v>83.289999900000012</c:v>
                </c:pt>
                <c:pt idx="171">
                  <c:v>83.568499899999992</c:v>
                </c:pt>
                <c:pt idx="172">
                  <c:v>83.821500150000006</c:v>
                </c:pt>
                <c:pt idx="173">
                  <c:v>83.83900005000001</c:v>
                </c:pt>
                <c:pt idx="174">
                  <c:v>84.014999849999995</c:v>
                </c:pt>
                <c:pt idx="175">
                  <c:v>84.140499949999992</c:v>
                </c:pt>
                <c:pt idx="176">
                  <c:v>84.22999999999999</c:v>
                </c:pt>
                <c:pt idx="177">
                  <c:v>84.320500249999995</c:v>
                </c:pt>
                <c:pt idx="178">
                  <c:v>84.525000450000007</c:v>
                </c:pt>
                <c:pt idx="179">
                  <c:v>84.670500649999994</c:v>
                </c:pt>
                <c:pt idx="180">
                  <c:v>84.845000900000002</c:v>
                </c:pt>
                <c:pt idx="181">
                  <c:v>84.862500849999989</c:v>
                </c:pt>
                <c:pt idx="182">
                  <c:v>84.805000750000005</c:v>
                </c:pt>
              </c:numCache>
            </c:numRef>
          </c:val>
          <c:smooth val="0"/>
          <c:extLst>
            <c:ext xmlns:c16="http://schemas.microsoft.com/office/drawing/2014/chart" uri="{C3380CC4-5D6E-409C-BE32-E72D297353CC}">
              <c16:uniqueId val="{00000002-907E-4874-BE57-701E8237671A}"/>
            </c:ext>
          </c:extLst>
        </c:ser>
        <c:dLbls>
          <c:showLegendKey val="0"/>
          <c:showVal val="0"/>
          <c:showCatName val="0"/>
          <c:showSerName val="0"/>
          <c:showPercent val="0"/>
          <c:showBubbleSize val="0"/>
        </c:dLbls>
        <c:smooth val="0"/>
        <c:axId val="821523344"/>
        <c:axId val="821539744"/>
      </c:lineChart>
      <c:dateAx>
        <c:axId val="821523344"/>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21539744"/>
        <c:crosses val="autoZero"/>
        <c:auto val="1"/>
        <c:lblOffset val="100"/>
        <c:baseTimeUnit val="days"/>
      </c:dateAx>
      <c:valAx>
        <c:axId val="821539744"/>
        <c:scaling>
          <c:orientation val="minMax"/>
          <c:max val="93"/>
          <c:min val="5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21523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ux!$C$1" fmlaRange="Aux!$B$1:$B$6" noThreeD="1" sel="6" val="0"/>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svg"/><Relationship Id="rId1" Type="http://schemas.openxmlformats.org/officeDocument/2006/relationships/image" Target="../media/image1.png"/><Relationship Id="rId5" Type="http://schemas.microsoft.com/office/2007/relationships/hdphoto" Target="../media/hdphoto1.wdp"/><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114300</xdr:rowOff>
    </xdr:from>
    <xdr:to>
      <xdr:col>22</xdr:col>
      <xdr:colOff>0</xdr:colOff>
      <xdr:row>10</xdr:row>
      <xdr:rowOff>125605</xdr:rowOff>
    </xdr:to>
    <xdr:sp macro="" textlink="">
      <xdr:nvSpPr>
        <xdr:cNvPr id="2" name="Round Same Side Corner Rectangle 1">
          <a:extLst>
            <a:ext uri="{FF2B5EF4-FFF2-40B4-BE49-F238E27FC236}">
              <a16:creationId xmlns:a16="http://schemas.microsoft.com/office/drawing/2014/main" id="{00000000-0008-0000-0000-000002000000}"/>
            </a:ext>
          </a:extLst>
        </xdr:cNvPr>
        <xdr:cNvSpPr/>
      </xdr:nvSpPr>
      <xdr:spPr>
        <a:xfrm>
          <a:off x="0" y="114300"/>
          <a:ext cx="18630900" cy="1929005"/>
        </a:xfrm>
        <a:prstGeom prst="round2Same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0">
              <a:solidFill>
                <a:schemeClr val="tx1"/>
              </a:solidFill>
              <a:latin typeface="Times New Roman" panose="02020603050405020304" pitchFamily="18" charset="0"/>
              <a:cs typeface="Times New Roman" panose="02020603050405020304" pitchFamily="18" charset="0"/>
            </a:rPr>
            <a:t>ANÁLISIS TÉCNICO</a:t>
          </a:r>
        </a:p>
        <a:p>
          <a:pPr algn="ctr"/>
          <a:br>
            <a:rPr lang="en-US" sz="1100">
              <a:solidFill>
                <a:schemeClr val="tx1"/>
              </a:solidFill>
              <a:latin typeface="Times New Roman" panose="02020603050405020304" pitchFamily="18" charset="0"/>
              <a:cs typeface="Times New Roman" panose="02020603050405020304" pitchFamily="18" charset="0"/>
            </a:rPr>
          </a:br>
          <a:r>
            <a:rPr lang="en-US" sz="1100">
              <a:solidFill>
                <a:schemeClr val="tx1"/>
              </a:solidFill>
              <a:latin typeface="Times New Roman" panose="02020603050405020304" pitchFamily="18" charset="0"/>
              <a:cs typeface="Times New Roman" panose="02020603050405020304" pitchFamily="18" charset="0"/>
            </a:rPr>
            <a:t>CARTERAS DE INVERSIÓN 2023</a:t>
          </a:r>
        </a:p>
      </xdr:txBody>
    </xdr:sp>
    <xdr:clientData/>
  </xdr:twoCellAnchor>
  <xdr:twoCellAnchor>
    <xdr:from>
      <xdr:col>6</xdr:col>
      <xdr:colOff>317500</xdr:colOff>
      <xdr:row>11</xdr:row>
      <xdr:rowOff>50799</xdr:rowOff>
    </xdr:from>
    <xdr:to>
      <xdr:col>21</xdr:col>
      <xdr:colOff>444500</xdr:colOff>
      <xdr:row>43</xdr:row>
      <xdr:rowOff>152400</xdr:rowOff>
    </xdr:to>
    <xdr:graphicFrame macro="">
      <xdr:nvGraphicFramePr>
        <xdr:cNvPr id="4" name="Senal">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479187</xdr:colOff>
      <xdr:row>39</xdr:row>
      <xdr:rowOff>114299</xdr:rowOff>
    </xdr:from>
    <xdr:to>
      <xdr:col>4</xdr:col>
      <xdr:colOff>241300</xdr:colOff>
      <xdr:row>41</xdr:row>
      <xdr:rowOff>101326</xdr:rowOff>
    </xdr:to>
    <xdr:sp macro="" textlink="">
      <xdr:nvSpPr>
        <xdr:cNvPr id="5" name="Rounded Rectangle 4">
          <a:extLst>
            <a:ext uri="{FF2B5EF4-FFF2-40B4-BE49-F238E27FC236}">
              <a16:creationId xmlns:a16="http://schemas.microsoft.com/office/drawing/2014/main" id="{00000000-0008-0000-0000-000005000000}"/>
            </a:ext>
          </a:extLst>
        </xdr:cNvPr>
        <xdr:cNvSpPr/>
      </xdr:nvSpPr>
      <xdr:spPr>
        <a:xfrm>
          <a:off x="2130187" y="7645399"/>
          <a:ext cx="1883013" cy="368027"/>
        </a:xfrm>
        <a:prstGeom prst="roundRect">
          <a:avLst/>
        </a:prstGeom>
        <a:solidFill>
          <a:schemeClr val="tx2">
            <a:lumMod val="7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CALCULAR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114300</xdr:rowOff>
    </xdr:from>
    <xdr:to>
      <xdr:col>22</xdr:col>
      <xdr:colOff>0</xdr:colOff>
      <xdr:row>10</xdr:row>
      <xdr:rowOff>125605</xdr:rowOff>
    </xdr:to>
    <xdr:sp macro="" textlink="">
      <xdr:nvSpPr>
        <xdr:cNvPr id="4" name="Round Same Side Corner Rectangle 3">
          <a:extLst>
            <a:ext uri="{FF2B5EF4-FFF2-40B4-BE49-F238E27FC236}">
              <a16:creationId xmlns:a16="http://schemas.microsoft.com/office/drawing/2014/main" id="{00000000-0008-0000-0100-000004000000}"/>
            </a:ext>
          </a:extLst>
        </xdr:cNvPr>
        <xdr:cNvSpPr/>
      </xdr:nvSpPr>
      <xdr:spPr>
        <a:xfrm>
          <a:off x="0" y="114300"/>
          <a:ext cx="18589451" cy="1979107"/>
        </a:xfrm>
        <a:prstGeom prst="round2SameRect">
          <a:avLst/>
        </a:prstGeom>
        <a:solidFill>
          <a:srgbClr val="859AA5"/>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0">
              <a:latin typeface="Times New Roman" panose="02020603050405020304" pitchFamily="18" charset="0"/>
              <a:cs typeface="Times New Roman" panose="02020603050405020304" pitchFamily="18" charset="0"/>
            </a:rPr>
            <a:t>ANÁLISIS TÉCNICO</a:t>
          </a:r>
        </a:p>
        <a:p>
          <a:pPr algn="ctr"/>
          <a:br>
            <a:rPr lang="en-US" sz="1100">
              <a:latin typeface="Times New Roman" panose="02020603050405020304" pitchFamily="18" charset="0"/>
              <a:cs typeface="Times New Roman" panose="02020603050405020304" pitchFamily="18" charset="0"/>
            </a:rPr>
          </a:br>
          <a:r>
            <a:rPr lang="en-US" sz="1100">
              <a:latin typeface="Times New Roman" panose="02020603050405020304" pitchFamily="18" charset="0"/>
              <a:cs typeface="Times New Roman" panose="02020603050405020304" pitchFamily="18" charset="0"/>
            </a:rPr>
            <a:t>CARTERAS DE INVERSIÓN 2023</a:t>
          </a:r>
        </a:p>
      </xdr:txBody>
    </xdr:sp>
    <xdr:clientData/>
  </xdr:twoCellAnchor>
  <xdr:twoCellAnchor editAs="oneCell">
    <xdr:from>
      <xdr:col>0</xdr:col>
      <xdr:colOff>190501</xdr:colOff>
      <xdr:row>12</xdr:row>
      <xdr:rowOff>127000</xdr:rowOff>
    </xdr:from>
    <xdr:to>
      <xdr:col>0</xdr:col>
      <xdr:colOff>711201</xdr:colOff>
      <xdr:row>15</xdr:row>
      <xdr:rowOff>63499</xdr:rowOff>
    </xdr:to>
    <xdr:pic>
      <xdr:nvPicPr>
        <xdr:cNvPr id="7" name="Graphic 6" descr="Building outlin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lum bright="100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0501" y="2425700"/>
          <a:ext cx="520700" cy="520699"/>
        </a:xfrm>
        <a:prstGeom prst="rect">
          <a:avLst/>
        </a:prstGeom>
      </xdr:spPr>
    </xdr:pic>
    <xdr:clientData/>
  </xdr:twoCellAnchor>
  <xdr:twoCellAnchor>
    <xdr:from>
      <xdr:col>7</xdr:col>
      <xdr:colOff>317500</xdr:colOff>
      <xdr:row>17</xdr:row>
      <xdr:rowOff>190499</xdr:rowOff>
    </xdr:from>
    <xdr:to>
      <xdr:col>21</xdr:col>
      <xdr:colOff>304800</xdr:colOff>
      <xdr:row>42</xdr:row>
      <xdr:rowOff>154358</xdr:rowOff>
    </xdr:to>
    <xdr:graphicFrame macro="">
      <xdr:nvGraphicFramePr>
        <xdr:cNvPr id="11" name="Senal">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479187</xdr:colOff>
      <xdr:row>39</xdr:row>
      <xdr:rowOff>114299</xdr:rowOff>
    </xdr:from>
    <xdr:to>
      <xdr:col>4</xdr:col>
      <xdr:colOff>241300</xdr:colOff>
      <xdr:row>41</xdr:row>
      <xdr:rowOff>101326</xdr:rowOff>
    </xdr:to>
    <xdr:sp macro="" textlink="">
      <xdr:nvSpPr>
        <xdr:cNvPr id="13" name="Rounded Rectangle 12">
          <a:extLst>
            <a:ext uri="{FF2B5EF4-FFF2-40B4-BE49-F238E27FC236}">
              <a16:creationId xmlns:a16="http://schemas.microsoft.com/office/drawing/2014/main" id="{00000000-0008-0000-0100-00000D000000}"/>
            </a:ext>
          </a:extLst>
        </xdr:cNvPr>
        <xdr:cNvSpPr/>
      </xdr:nvSpPr>
      <xdr:spPr>
        <a:xfrm>
          <a:off x="2130187" y="7645399"/>
          <a:ext cx="1883013" cy="368027"/>
        </a:xfrm>
        <a:prstGeom prst="roundRect">
          <a:avLst/>
        </a:prstGeom>
        <a:solidFill>
          <a:srgbClr val="01B1A3"/>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CALCULAR</a:t>
          </a:r>
        </a:p>
      </xdr:txBody>
    </xdr:sp>
    <xdr:clientData/>
  </xdr:twoCellAnchor>
  <xdr:twoCellAnchor editAs="oneCell">
    <xdr:from>
      <xdr:col>0</xdr:col>
      <xdr:colOff>459551</xdr:colOff>
      <xdr:row>1</xdr:row>
      <xdr:rowOff>87960</xdr:rowOff>
    </xdr:from>
    <xdr:to>
      <xdr:col>2</xdr:col>
      <xdr:colOff>223660</xdr:colOff>
      <xdr:row>9</xdr:row>
      <xdr:rowOff>134995</xdr:rowOff>
    </xdr:to>
    <xdr:pic>
      <xdr:nvPicPr>
        <xdr:cNvPr id="2" name="Picture 1" descr="Facultad de Ciencias, UNAM Logo PNG Vector (EPS) Free Download">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4">
          <a:extLst>
            <a:ext uri="{BEBA8EAE-BF5A-486C-A8C5-ECC9F3942E4B}">
              <a14:imgProps xmlns:a14="http://schemas.microsoft.com/office/drawing/2010/main">
                <a14:imgLayer r:embed="rId5">
                  <a14:imgEffect>
                    <a14:brightnessContrast bright="100000" contrast="50000"/>
                  </a14:imgEffect>
                </a14:imgLayer>
              </a14:imgProps>
            </a:ext>
            <a:ext uri="{28A0092B-C50C-407E-A947-70E740481C1C}">
              <a14:useLocalDpi xmlns:a14="http://schemas.microsoft.com/office/drawing/2010/main" val="0"/>
            </a:ext>
          </a:extLst>
        </a:blip>
        <a:srcRect/>
        <a:stretch>
          <a:fillRect/>
        </a:stretch>
      </xdr:blipFill>
      <xdr:spPr bwMode="auto">
        <a:xfrm>
          <a:off x="459551" y="291160"/>
          <a:ext cx="1415109" cy="1571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469900</xdr:colOff>
      <xdr:row>1</xdr:row>
      <xdr:rowOff>44450</xdr:rowOff>
    </xdr:from>
    <xdr:to>
      <xdr:col>22</xdr:col>
      <xdr:colOff>323850</xdr:colOff>
      <xdr:row>19</xdr:row>
      <xdr:rowOff>63500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7</xdr:row>
      <xdr:rowOff>171450</xdr:rowOff>
    </xdr:from>
    <xdr:to>
      <xdr:col>11</xdr:col>
      <xdr:colOff>1148761</xdr:colOff>
      <xdr:row>11</xdr:row>
      <xdr:rowOff>123255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6883400" y="1460500"/>
          <a:ext cx="2361611" cy="6884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xdr:row>
          <xdr:rowOff>38100</xdr:rowOff>
        </xdr:from>
        <xdr:to>
          <xdr:col>4</xdr:col>
          <xdr:colOff>546100</xdr:colOff>
          <xdr:row>3</xdr:row>
          <xdr:rowOff>152400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38100</xdr:colOff>
          <xdr:row>3</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Calcular</a:t>
              </a:r>
            </a:p>
          </xdr:txBody>
        </xdr:sp>
        <xdr:clientData fPrintsWithSheet="0"/>
      </xdr:twoCellAnchor>
    </mc:Choice>
    <mc:Fallback/>
  </mc:AlternateContent>
  <xdr:twoCellAnchor>
    <xdr:from>
      <xdr:col>1</xdr:col>
      <xdr:colOff>0</xdr:colOff>
      <xdr:row>4</xdr:row>
      <xdr:rowOff>0</xdr:rowOff>
    </xdr:from>
    <xdr:to>
      <xdr:col>9</xdr:col>
      <xdr:colOff>19050</xdr:colOff>
      <xdr:row>18</xdr:row>
      <xdr:rowOff>171450</xdr:rowOff>
    </xdr:to>
    <xdr:graphicFrame macro="">
      <xdr:nvGraphicFramePr>
        <xdr:cNvPr id="6" name="Senal">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14EAB-DCA4-E842-874C-21987AA70E4E}">
  <sheetPr codeName="Sheet7"/>
  <dimension ref="A1:V46"/>
  <sheetViews>
    <sheetView tabSelected="1" zoomScaleNormal="100" workbookViewId="0">
      <pane xSplit="22" ySplit="45" topLeftCell="W46" activePane="bottomRight" state="frozen"/>
      <selection pane="topRight" activeCell="W1" sqref="W1"/>
      <selection pane="bottomLeft" activeCell="A46" sqref="A46"/>
      <selection pane="bottomRight" activeCell="B14" sqref="B14:F15"/>
    </sheetView>
  </sheetViews>
  <sheetFormatPr baseColWidth="10" defaultColWidth="0" defaultRowHeight="0" customHeight="1" zeroHeight="1" x14ac:dyDescent="0.2"/>
  <cols>
    <col min="1" max="3" width="10.83203125" style="26" customWidth="1"/>
    <col min="4" max="4" width="17" style="26" customWidth="1"/>
    <col min="5" max="22" width="10.83203125" style="26" customWidth="1"/>
    <col min="23" max="16384" width="10.83203125" style="26" hidden="1"/>
  </cols>
  <sheetData>
    <row r="1" spans="2:21" ht="15" x14ac:dyDescent="0.2"/>
    <row r="2" spans="2:21" ht="15" x14ac:dyDescent="0.2"/>
    <row r="3" spans="2:21" ht="15" x14ac:dyDescent="0.2"/>
    <row r="4" spans="2:21" ht="15" x14ac:dyDescent="0.2"/>
    <row r="5" spans="2:21" ht="15" x14ac:dyDescent="0.2"/>
    <row r="6" spans="2:21" ht="15" x14ac:dyDescent="0.2"/>
    <row r="7" spans="2:21" ht="15" x14ac:dyDescent="0.2"/>
    <row r="8" spans="2:21" ht="15" x14ac:dyDescent="0.2"/>
    <row r="9" spans="2:21" ht="15" x14ac:dyDescent="0.2"/>
    <row r="10" spans="2:21" ht="15" x14ac:dyDescent="0.2"/>
    <row r="11" spans="2:21" ht="15" x14ac:dyDescent="0.2"/>
    <row r="12" spans="2:21" ht="15" x14ac:dyDescent="0.2">
      <c r="D12" s="28"/>
    </row>
    <row r="13" spans="2:21" ht="15" customHeight="1" x14ac:dyDescent="0.2">
      <c r="I13" s="29"/>
      <c r="J13" s="29"/>
      <c r="K13" s="29"/>
      <c r="L13" s="29"/>
      <c r="M13" s="29"/>
      <c r="N13" s="29"/>
      <c r="O13" s="29"/>
      <c r="P13" s="29"/>
      <c r="Q13" s="29"/>
      <c r="R13" s="29"/>
      <c r="S13" s="29"/>
      <c r="T13" s="29"/>
      <c r="U13" s="29"/>
    </row>
    <row r="14" spans="2:21" ht="15" customHeight="1" x14ac:dyDescent="0.2">
      <c r="B14" s="32" t="s">
        <v>18</v>
      </c>
      <c r="C14" s="32"/>
      <c r="D14" s="32"/>
      <c r="E14" s="32"/>
      <c r="F14" s="32"/>
      <c r="H14" s="29"/>
      <c r="I14" s="29"/>
      <c r="J14" s="29"/>
      <c r="K14" s="29"/>
      <c r="L14" s="29"/>
      <c r="M14" s="29"/>
      <c r="N14" s="29"/>
      <c r="O14" s="29"/>
      <c r="P14" s="29"/>
      <c r="Q14" s="29"/>
      <c r="R14" s="29"/>
      <c r="S14" s="29"/>
      <c r="T14" s="29"/>
      <c r="U14" s="29"/>
    </row>
    <row r="15" spans="2:21" ht="16" customHeight="1" x14ac:dyDescent="0.2">
      <c r="B15" s="32"/>
      <c r="C15" s="32"/>
      <c r="D15" s="32"/>
      <c r="E15" s="32"/>
      <c r="F15" s="32"/>
      <c r="G15" s="28"/>
      <c r="H15" s="29"/>
      <c r="I15" s="29"/>
      <c r="J15" s="29"/>
      <c r="K15" s="29"/>
      <c r="L15" s="29"/>
      <c r="M15" s="29"/>
      <c r="N15" s="29"/>
      <c r="O15" s="29"/>
      <c r="P15" s="29"/>
      <c r="Q15" s="29"/>
      <c r="R15" s="29"/>
      <c r="S15" s="29"/>
      <c r="T15" s="29"/>
      <c r="U15" s="29"/>
    </row>
    <row r="16" spans="2:21" ht="16" customHeight="1" x14ac:dyDescent="0.2">
      <c r="B16" s="33" t="s">
        <v>55</v>
      </c>
      <c r="C16" s="33"/>
      <c r="D16" s="30">
        <f>'BIMBOA.MX (2)'!A2</f>
        <v>44620</v>
      </c>
      <c r="E16" s="30"/>
      <c r="F16" s="30"/>
      <c r="G16" s="28"/>
      <c r="H16" s="29"/>
      <c r="I16" s="29"/>
      <c r="J16" s="29"/>
      <c r="K16" s="29"/>
      <c r="L16" s="29"/>
      <c r="M16" s="29"/>
      <c r="N16" s="29"/>
      <c r="O16" s="29"/>
      <c r="P16" s="29"/>
      <c r="Q16" s="29"/>
      <c r="R16" s="29"/>
      <c r="S16" s="29"/>
      <c r="T16" s="29"/>
      <c r="U16" s="29"/>
    </row>
    <row r="17" spans="2:7" ht="15" customHeight="1" x14ac:dyDescent="0.2">
      <c r="B17" s="33" t="s">
        <v>56</v>
      </c>
      <c r="C17" s="33"/>
      <c r="D17" s="30">
        <f>Datos!A203</f>
        <v>44910</v>
      </c>
      <c r="E17" s="30"/>
      <c r="F17" s="30"/>
      <c r="G17" s="28"/>
    </row>
    <row r="18" spans="2:7" ht="15" customHeight="1" x14ac:dyDescent="0.2">
      <c r="B18" s="33" t="s">
        <v>54</v>
      </c>
      <c r="C18" s="33"/>
      <c r="D18" s="34">
        <f>COUNT('BIMBOA.MX (2)'!A2:A254)</f>
        <v>253</v>
      </c>
      <c r="E18" s="34"/>
      <c r="F18" s="34"/>
    </row>
    <row r="19" spans="2:7" ht="15" customHeight="1" x14ac:dyDescent="0.2"/>
    <row r="20" spans="2:7" ht="15" customHeight="1" x14ac:dyDescent="0.2"/>
    <row r="21" spans="2:7" ht="15" customHeight="1" x14ac:dyDescent="0.2">
      <c r="B21" s="32" t="s">
        <v>36</v>
      </c>
      <c r="C21" s="32"/>
      <c r="D21" s="32"/>
      <c r="E21" s="32"/>
      <c r="F21" s="32"/>
    </row>
    <row r="22" spans="2:7" ht="15" customHeight="1" x14ac:dyDescent="0.2">
      <c r="B22" s="31" t="str">
        <f>IFERROR(VLOOKUP(B21,Referencias!$B$2:$C$9,2,FALSE),"")</f>
        <v>Descripción: Este método se fundamenta de la teoría de la estadística, al ser una aplicación de una medida de tendencia central llamada media. Su principal propósito es disminuir la variabilidad de los datos para quedarte con la tendencia.
Para este análisis encontramos dos variantes principales:
Media Móvil Corta: Nos muestra la afinidad sobre el comportamiento de los precios. Lo que caracteriza a esta primer variante es la propensión a los cambios que tienen los precios en un corto horizonte de tiempo
Media Móvil Larga: En contraste, esta medida muestra la afinidad de los precios a horizontes medianos y largos de tiempo, es un buen indicador para conocer el comportamiento global del activo de interés</v>
      </c>
      <c r="C22" s="31"/>
      <c r="D22" s="31"/>
      <c r="E22" s="31"/>
      <c r="F22" s="31"/>
    </row>
    <row r="23" spans="2:7" ht="15" customHeight="1" x14ac:dyDescent="0.2">
      <c r="B23" s="31"/>
      <c r="C23" s="31"/>
      <c r="D23" s="31"/>
      <c r="E23" s="31"/>
      <c r="F23" s="31"/>
    </row>
    <row r="24" spans="2:7" ht="15" customHeight="1" x14ac:dyDescent="0.2">
      <c r="B24" s="31"/>
      <c r="C24" s="31"/>
      <c r="D24" s="31"/>
      <c r="E24" s="31"/>
      <c r="F24" s="31"/>
    </row>
    <row r="25" spans="2:7" ht="15" customHeight="1" x14ac:dyDescent="0.2">
      <c r="B25" s="31"/>
      <c r="C25" s="31"/>
      <c r="D25" s="31"/>
      <c r="E25" s="31"/>
      <c r="F25" s="31"/>
    </row>
    <row r="26" spans="2:7" ht="15" customHeight="1" x14ac:dyDescent="0.2">
      <c r="B26" s="31"/>
      <c r="C26" s="31"/>
      <c r="D26" s="31"/>
      <c r="E26" s="31"/>
      <c r="F26" s="31"/>
    </row>
    <row r="27" spans="2:7" ht="15" customHeight="1" x14ac:dyDescent="0.2">
      <c r="B27" s="31"/>
      <c r="C27" s="31"/>
      <c r="D27" s="31"/>
      <c r="E27" s="31"/>
      <c r="F27" s="31"/>
    </row>
    <row r="28" spans="2:7" ht="15" customHeight="1" x14ac:dyDescent="0.2">
      <c r="B28" s="31"/>
      <c r="C28" s="31"/>
      <c r="D28" s="31"/>
      <c r="E28" s="31"/>
      <c r="F28" s="31"/>
    </row>
    <row r="29" spans="2:7" ht="15" customHeight="1" x14ac:dyDescent="0.2">
      <c r="B29" s="31"/>
      <c r="C29" s="31"/>
      <c r="D29" s="31"/>
      <c r="E29" s="31"/>
      <c r="F29" s="31"/>
    </row>
    <row r="30" spans="2:7" ht="15" customHeight="1" x14ac:dyDescent="0.2">
      <c r="B30" s="31"/>
      <c r="C30" s="31"/>
      <c r="D30" s="31"/>
      <c r="E30" s="31"/>
      <c r="F30" s="31"/>
    </row>
    <row r="31" spans="2:7" ht="15" customHeight="1" x14ac:dyDescent="0.2">
      <c r="B31" s="31"/>
      <c r="C31" s="31"/>
      <c r="D31" s="31"/>
      <c r="E31" s="31"/>
      <c r="F31" s="31"/>
    </row>
    <row r="32" spans="2:7" ht="15" customHeight="1" x14ac:dyDescent="0.2">
      <c r="B32" s="31"/>
      <c r="C32" s="31"/>
      <c r="D32" s="31"/>
      <c r="E32" s="31"/>
      <c r="F32" s="31"/>
    </row>
    <row r="33" spans="2:6" ht="16" customHeight="1" x14ac:dyDescent="0.2">
      <c r="B33" s="31"/>
      <c r="C33" s="31"/>
      <c r="D33" s="31"/>
      <c r="E33" s="31"/>
      <c r="F33" s="31"/>
    </row>
    <row r="34" spans="2:6" ht="15" customHeight="1" x14ac:dyDescent="0.2">
      <c r="B34" s="31"/>
      <c r="C34" s="31"/>
      <c r="D34" s="31"/>
      <c r="E34" s="31"/>
      <c r="F34" s="31"/>
    </row>
    <row r="35" spans="2:6" ht="15" customHeight="1" x14ac:dyDescent="0.2">
      <c r="B35" s="31"/>
      <c r="C35" s="31"/>
      <c r="D35" s="31"/>
      <c r="E35" s="31"/>
      <c r="F35" s="31"/>
    </row>
    <row r="36" spans="2:6" ht="16" customHeight="1" x14ac:dyDescent="0.2">
      <c r="B36" s="31"/>
      <c r="C36" s="31"/>
      <c r="D36" s="31"/>
      <c r="E36" s="31"/>
      <c r="F36" s="31"/>
    </row>
    <row r="37" spans="2:6" ht="16" customHeight="1" x14ac:dyDescent="0.2">
      <c r="B37" s="31"/>
      <c r="C37" s="31"/>
      <c r="D37" s="31"/>
      <c r="E37" s="31"/>
      <c r="F37" s="31"/>
    </row>
    <row r="38" spans="2:6" ht="16" customHeight="1" x14ac:dyDescent="0.2">
      <c r="B38" s="31"/>
      <c r="C38" s="31"/>
      <c r="D38" s="31"/>
      <c r="E38" s="31"/>
      <c r="F38" s="31"/>
    </row>
    <row r="39" spans="2:6" ht="16" customHeight="1" x14ac:dyDescent="0.2"/>
    <row r="40" spans="2:6" ht="15" x14ac:dyDescent="0.2"/>
    <row r="41" spans="2:6" ht="15" x14ac:dyDescent="0.2"/>
    <row r="42" spans="2:6" ht="15" x14ac:dyDescent="0.2"/>
    <row r="43" spans="2:6" ht="15" x14ac:dyDescent="0.2"/>
    <row r="44" spans="2:6" ht="15" x14ac:dyDescent="0.2"/>
    <row r="45" spans="2:6" ht="15" x14ac:dyDescent="0.2"/>
    <row r="46" spans="2:6" ht="15" hidden="1" x14ac:dyDescent="0.2"/>
  </sheetData>
  <mergeCells count="9">
    <mergeCell ref="D16:F16"/>
    <mergeCell ref="B22:F38"/>
    <mergeCell ref="B21:F21"/>
    <mergeCell ref="B14:F15"/>
    <mergeCell ref="B17:C17"/>
    <mergeCell ref="D17:F17"/>
    <mergeCell ref="B18:C18"/>
    <mergeCell ref="D18:F18"/>
    <mergeCell ref="B16:C16"/>
  </mergeCell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62AC6E4-4214-5840-BDE3-EF02E095C353}">
          <x14:formula1>
            <xm:f>Referencias!$B$2:$B$9</xm:f>
          </x14:formula1>
          <xm:sqref>B21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9FDFF-3F57-744C-8A8F-E07FADB98EBD}">
  <sheetPr codeName="Sheet5"/>
  <dimension ref="A1:V46"/>
  <sheetViews>
    <sheetView zoomScaleNormal="100" workbookViewId="0">
      <pane xSplit="22" ySplit="45" topLeftCell="W46" activePane="bottomRight" state="frozen"/>
      <selection pane="topRight" activeCell="W1" sqref="W1"/>
      <selection pane="bottomLeft" activeCell="A46" sqref="A46"/>
      <selection pane="bottomRight" activeCell="H31" sqref="H31"/>
    </sheetView>
  </sheetViews>
  <sheetFormatPr baseColWidth="10" defaultColWidth="0" defaultRowHeight="15" zeroHeight="1" x14ac:dyDescent="0.2"/>
  <cols>
    <col min="1" max="3" width="10.83203125" style="15" customWidth="1"/>
    <col min="4" max="4" width="17" style="15" customWidth="1"/>
    <col min="5" max="22" width="10.83203125" style="15" customWidth="1"/>
    <col min="23" max="16384" width="10.83203125" style="15" hidden="1"/>
  </cols>
  <sheetData>
    <row r="1" spans="1:22" ht="16" thickTop="1" x14ac:dyDescent="0.2">
      <c r="A1" s="22"/>
      <c r="B1" s="23"/>
      <c r="C1" s="23"/>
      <c r="D1" s="23"/>
      <c r="E1" s="23"/>
      <c r="F1" s="23"/>
      <c r="G1" s="23"/>
      <c r="H1" s="23"/>
      <c r="I1" s="23"/>
      <c r="J1" s="23"/>
      <c r="K1" s="23"/>
      <c r="L1" s="23"/>
      <c r="M1" s="23"/>
      <c r="N1" s="23"/>
      <c r="O1" s="23"/>
      <c r="P1" s="23"/>
      <c r="Q1" s="23"/>
      <c r="R1" s="23"/>
      <c r="S1" s="23"/>
      <c r="T1" s="23"/>
      <c r="U1" s="23"/>
      <c r="V1" s="24"/>
    </row>
    <row r="2" spans="1:22" x14ac:dyDescent="0.2">
      <c r="A2" s="25"/>
      <c r="B2" s="26"/>
      <c r="C2" s="26"/>
      <c r="D2" s="26"/>
      <c r="E2" s="26"/>
      <c r="F2" s="26"/>
      <c r="G2" s="26"/>
      <c r="H2" s="26"/>
      <c r="I2" s="26"/>
      <c r="J2" s="26"/>
      <c r="K2" s="26"/>
      <c r="L2" s="26"/>
      <c r="M2" s="26"/>
      <c r="N2" s="26"/>
      <c r="O2" s="26"/>
      <c r="P2" s="26"/>
      <c r="Q2" s="26"/>
      <c r="R2" s="26"/>
      <c r="S2" s="26"/>
      <c r="T2" s="26"/>
      <c r="U2" s="26"/>
      <c r="V2" s="27"/>
    </row>
    <row r="3" spans="1:22" x14ac:dyDescent="0.2">
      <c r="A3" s="25"/>
      <c r="B3" s="26"/>
      <c r="C3" s="26"/>
      <c r="D3" s="26"/>
      <c r="E3" s="26"/>
      <c r="F3" s="26"/>
      <c r="G3" s="26"/>
      <c r="H3" s="26"/>
      <c r="I3" s="26"/>
      <c r="J3" s="26"/>
      <c r="K3" s="26"/>
      <c r="L3" s="26"/>
      <c r="M3" s="26"/>
      <c r="N3" s="26"/>
      <c r="O3" s="26"/>
      <c r="P3" s="26"/>
      <c r="Q3" s="26"/>
      <c r="R3" s="26"/>
      <c r="S3" s="26"/>
      <c r="T3" s="26"/>
      <c r="U3" s="26"/>
      <c r="V3" s="27"/>
    </row>
    <row r="4" spans="1:22" x14ac:dyDescent="0.2">
      <c r="A4" s="16"/>
      <c r="V4" s="17"/>
    </row>
    <row r="5" spans="1:22" x14ac:dyDescent="0.2">
      <c r="A5" s="16"/>
      <c r="V5" s="17"/>
    </row>
    <row r="6" spans="1:22" x14ac:dyDescent="0.2">
      <c r="A6" s="16"/>
      <c r="V6" s="17"/>
    </row>
    <row r="7" spans="1:22" x14ac:dyDescent="0.2">
      <c r="A7" s="16"/>
      <c r="V7" s="17"/>
    </row>
    <row r="8" spans="1:22" x14ac:dyDescent="0.2">
      <c r="A8" s="16"/>
      <c r="V8" s="17"/>
    </row>
    <row r="9" spans="1:22" x14ac:dyDescent="0.2">
      <c r="A9" s="16"/>
      <c r="V9" s="17"/>
    </row>
    <row r="10" spans="1:22" x14ac:dyDescent="0.2">
      <c r="A10" s="16"/>
      <c r="V10" s="17"/>
    </row>
    <row r="11" spans="1:22" x14ac:dyDescent="0.2">
      <c r="A11" s="16"/>
      <c r="V11" s="17"/>
    </row>
    <row r="12" spans="1:22" x14ac:dyDescent="0.2">
      <c r="A12" s="16"/>
      <c r="D12" s="21"/>
      <c r="V12" s="17"/>
    </row>
    <row r="13" spans="1:22" ht="15" customHeight="1" x14ac:dyDescent="0.2">
      <c r="A13" s="16"/>
      <c r="I13" s="35" t="s">
        <v>53</v>
      </c>
      <c r="J13" s="35"/>
      <c r="K13" s="35"/>
      <c r="L13" s="35"/>
      <c r="M13" s="35"/>
      <c r="N13" s="35"/>
      <c r="O13" s="35"/>
      <c r="P13" s="35"/>
      <c r="Q13" s="35"/>
      <c r="R13" s="35"/>
      <c r="S13" s="35"/>
      <c r="T13" s="35"/>
      <c r="U13" s="36"/>
      <c r="V13" s="17"/>
    </row>
    <row r="14" spans="1:22" ht="15" customHeight="1" x14ac:dyDescent="0.2">
      <c r="A14" s="16"/>
      <c r="B14" s="35" t="s">
        <v>18</v>
      </c>
      <c r="C14" s="35"/>
      <c r="D14" s="35"/>
      <c r="E14" s="35"/>
      <c r="F14" s="36"/>
      <c r="I14" s="35"/>
      <c r="J14" s="35"/>
      <c r="K14" s="35"/>
      <c r="L14" s="35"/>
      <c r="M14" s="35"/>
      <c r="N14" s="35"/>
      <c r="O14" s="35"/>
      <c r="P14" s="35"/>
      <c r="Q14" s="35"/>
      <c r="R14" s="35"/>
      <c r="S14" s="35"/>
      <c r="T14" s="35"/>
      <c r="U14" s="36"/>
      <c r="V14" s="17"/>
    </row>
    <row r="15" spans="1:22" ht="16" customHeight="1" thickBot="1" x14ac:dyDescent="0.25">
      <c r="A15" s="16"/>
      <c r="B15" s="37"/>
      <c r="C15" s="37"/>
      <c r="D15" s="37"/>
      <c r="E15" s="37"/>
      <c r="F15" s="38"/>
      <c r="G15" s="21"/>
      <c r="I15" s="35"/>
      <c r="J15" s="35"/>
      <c r="K15" s="35"/>
      <c r="L15" s="35"/>
      <c r="M15" s="35"/>
      <c r="N15" s="35"/>
      <c r="O15" s="35"/>
      <c r="P15" s="35"/>
      <c r="Q15" s="35"/>
      <c r="R15" s="35"/>
      <c r="S15" s="35"/>
      <c r="T15" s="35"/>
      <c r="U15" s="36"/>
      <c r="V15" s="17"/>
    </row>
    <row r="16" spans="1:22" ht="16" customHeight="1" thickBot="1" x14ac:dyDescent="0.25">
      <c r="A16" s="16"/>
      <c r="G16" s="21"/>
      <c r="I16" s="37"/>
      <c r="J16" s="37"/>
      <c r="K16" s="37"/>
      <c r="L16" s="37"/>
      <c r="M16" s="37"/>
      <c r="N16" s="37"/>
      <c r="O16" s="37"/>
      <c r="P16" s="37"/>
      <c r="Q16" s="37"/>
      <c r="R16" s="37"/>
      <c r="S16" s="37"/>
      <c r="T16" s="37"/>
      <c r="U16" s="38"/>
      <c r="V16" s="17"/>
    </row>
    <row r="17" spans="1:22" ht="15" customHeight="1" x14ac:dyDescent="0.2">
      <c r="A17" s="16"/>
      <c r="B17" s="46" t="s">
        <v>55</v>
      </c>
      <c r="C17" s="46"/>
      <c r="D17" s="47">
        <f>'BIMBOA.MX (2)'!A2</f>
        <v>44620</v>
      </c>
      <c r="E17" s="47"/>
      <c r="F17" s="47"/>
      <c r="G17" s="21"/>
      <c r="V17" s="17"/>
    </row>
    <row r="18" spans="1:22" ht="15" customHeight="1" x14ac:dyDescent="0.2">
      <c r="A18" s="16"/>
      <c r="B18" s="46" t="s">
        <v>56</v>
      </c>
      <c r="C18" s="46"/>
      <c r="D18" s="47">
        <f>Datos!A203</f>
        <v>44910</v>
      </c>
      <c r="E18" s="47"/>
      <c r="F18" s="47"/>
      <c r="V18" s="17"/>
    </row>
    <row r="19" spans="1:22" ht="15" customHeight="1" x14ac:dyDescent="0.2">
      <c r="A19" s="16"/>
      <c r="B19" s="46" t="s">
        <v>54</v>
      </c>
      <c r="C19" s="46"/>
      <c r="D19" s="43">
        <f>COUNT('BIMBOA.MX (2)'!A2:A254)</f>
        <v>253</v>
      </c>
      <c r="E19" s="43"/>
      <c r="F19" s="43"/>
      <c r="V19" s="17"/>
    </row>
    <row r="20" spans="1:22" ht="15" customHeight="1" x14ac:dyDescent="0.2">
      <c r="A20" s="16"/>
      <c r="V20" s="17"/>
    </row>
    <row r="21" spans="1:22" ht="15" customHeight="1" x14ac:dyDescent="0.2">
      <c r="A21" s="16"/>
      <c r="B21" s="45"/>
      <c r="C21" s="45"/>
      <c r="D21" s="44"/>
      <c r="E21" s="44"/>
      <c r="F21" s="44"/>
      <c r="V21" s="17"/>
    </row>
    <row r="22" spans="1:22" ht="15" customHeight="1" x14ac:dyDescent="0.2">
      <c r="A22" s="16"/>
      <c r="B22" s="39" t="str">
        <f>IFERROR(VLOOKUP(I13,Referencias!$B$2:$C$9,2,FALSE),"")</f>
        <v>Equipo 03: Ruben Núñez Sánchez</v>
      </c>
      <c r="C22" s="39"/>
      <c r="D22" s="39"/>
      <c r="E22" s="39"/>
      <c r="F22" s="40"/>
      <c r="V22" s="17"/>
    </row>
    <row r="23" spans="1:22" ht="15" customHeight="1" x14ac:dyDescent="0.2">
      <c r="A23" s="16"/>
      <c r="B23" s="39"/>
      <c r="C23" s="39"/>
      <c r="D23" s="39"/>
      <c r="E23" s="39"/>
      <c r="F23" s="40"/>
      <c r="V23" s="17"/>
    </row>
    <row r="24" spans="1:22" ht="15" customHeight="1" x14ac:dyDescent="0.2">
      <c r="A24" s="16"/>
      <c r="B24" s="39"/>
      <c r="C24" s="39"/>
      <c r="D24" s="39"/>
      <c r="E24" s="39"/>
      <c r="F24" s="40"/>
      <c r="V24" s="17"/>
    </row>
    <row r="25" spans="1:22" ht="15" customHeight="1" x14ac:dyDescent="0.2">
      <c r="A25" s="16"/>
      <c r="B25" s="39"/>
      <c r="C25" s="39"/>
      <c r="D25" s="39"/>
      <c r="E25" s="39"/>
      <c r="F25" s="40"/>
      <c r="V25" s="17"/>
    </row>
    <row r="26" spans="1:22" ht="15" customHeight="1" x14ac:dyDescent="0.2">
      <c r="A26" s="16"/>
      <c r="B26" s="39"/>
      <c r="C26" s="39"/>
      <c r="D26" s="39"/>
      <c r="E26" s="39"/>
      <c r="F26" s="40"/>
      <c r="V26" s="17"/>
    </row>
    <row r="27" spans="1:22" ht="15" customHeight="1" x14ac:dyDescent="0.2">
      <c r="A27" s="16"/>
      <c r="B27" s="39"/>
      <c r="C27" s="39"/>
      <c r="D27" s="39"/>
      <c r="E27" s="39"/>
      <c r="F27" s="40"/>
      <c r="V27" s="17"/>
    </row>
    <row r="28" spans="1:22" ht="15" customHeight="1" x14ac:dyDescent="0.2">
      <c r="A28" s="16"/>
      <c r="B28" s="39"/>
      <c r="C28" s="39"/>
      <c r="D28" s="39"/>
      <c r="E28" s="39"/>
      <c r="F28" s="40"/>
      <c r="V28" s="17"/>
    </row>
    <row r="29" spans="1:22" ht="15" customHeight="1" x14ac:dyDescent="0.2">
      <c r="A29" s="16"/>
      <c r="B29" s="39"/>
      <c r="C29" s="39"/>
      <c r="D29" s="39"/>
      <c r="E29" s="39"/>
      <c r="F29" s="40"/>
      <c r="V29" s="17"/>
    </row>
    <row r="30" spans="1:22" ht="15" customHeight="1" x14ac:dyDescent="0.2">
      <c r="A30" s="16"/>
      <c r="B30" s="39"/>
      <c r="C30" s="39"/>
      <c r="D30" s="39"/>
      <c r="E30" s="39"/>
      <c r="F30" s="40"/>
      <c r="V30" s="17"/>
    </row>
    <row r="31" spans="1:22" ht="15" customHeight="1" x14ac:dyDescent="0.2">
      <c r="A31" s="16"/>
      <c r="B31" s="39"/>
      <c r="C31" s="39"/>
      <c r="D31" s="39"/>
      <c r="E31" s="39"/>
      <c r="F31" s="40"/>
      <c r="V31" s="17"/>
    </row>
    <row r="32" spans="1:22" ht="15" customHeight="1" x14ac:dyDescent="0.2">
      <c r="A32" s="16"/>
      <c r="B32" s="39"/>
      <c r="C32" s="39"/>
      <c r="D32" s="39"/>
      <c r="E32" s="39"/>
      <c r="F32" s="40"/>
      <c r="V32" s="17"/>
    </row>
    <row r="33" spans="1:22" ht="16" customHeight="1" x14ac:dyDescent="0.2">
      <c r="A33" s="16"/>
      <c r="B33" s="39"/>
      <c r="C33" s="39"/>
      <c r="D33" s="39"/>
      <c r="E33" s="39"/>
      <c r="F33" s="40"/>
      <c r="V33" s="17"/>
    </row>
    <row r="34" spans="1:22" ht="15" customHeight="1" x14ac:dyDescent="0.2">
      <c r="A34" s="16"/>
      <c r="B34" s="39"/>
      <c r="C34" s="39"/>
      <c r="D34" s="39"/>
      <c r="E34" s="39"/>
      <c r="F34" s="40"/>
      <c r="V34" s="17"/>
    </row>
    <row r="35" spans="1:22" ht="15" customHeight="1" x14ac:dyDescent="0.2">
      <c r="A35" s="16"/>
      <c r="B35" s="39"/>
      <c r="C35" s="39"/>
      <c r="D35" s="39"/>
      <c r="E35" s="39"/>
      <c r="F35" s="40"/>
      <c r="V35" s="17"/>
    </row>
    <row r="36" spans="1:22" ht="16" customHeight="1" x14ac:dyDescent="0.2">
      <c r="A36" s="16"/>
      <c r="B36" s="39"/>
      <c r="C36" s="39"/>
      <c r="D36" s="39"/>
      <c r="E36" s="39"/>
      <c r="F36" s="40"/>
      <c r="V36" s="17"/>
    </row>
    <row r="37" spans="1:22" ht="16" customHeight="1" x14ac:dyDescent="0.2">
      <c r="A37" s="16"/>
      <c r="B37" s="39"/>
      <c r="C37" s="39"/>
      <c r="D37" s="39"/>
      <c r="E37" s="39"/>
      <c r="F37" s="40"/>
      <c r="V37" s="17"/>
    </row>
    <row r="38" spans="1:22" ht="16" customHeight="1" x14ac:dyDescent="0.2">
      <c r="A38" s="16"/>
      <c r="B38" s="41"/>
      <c r="C38" s="41"/>
      <c r="D38" s="41"/>
      <c r="E38" s="41"/>
      <c r="F38" s="42"/>
      <c r="V38" s="17"/>
    </row>
    <row r="39" spans="1:22" ht="16" customHeight="1" x14ac:dyDescent="0.2">
      <c r="A39" s="16"/>
      <c r="V39" s="17"/>
    </row>
    <row r="40" spans="1:22" x14ac:dyDescent="0.2">
      <c r="A40" s="16"/>
      <c r="V40" s="17"/>
    </row>
    <row r="41" spans="1:22" x14ac:dyDescent="0.2">
      <c r="A41" s="16"/>
      <c r="V41" s="17"/>
    </row>
    <row r="42" spans="1:22" x14ac:dyDescent="0.2">
      <c r="A42" s="16"/>
      <c r="V42" s="17"/>
    </row>
    <row r="43" spans="1:22" x14ac:dyDescent="0.2">
      <c r="A43" s="16"/>
      <c r="V43" s="17"/>
    </row>
    <row r="44" spans="1:22" x14ac:dyDescent="0.2">
      <c r="A44" s="16"/>
      <c r="V44" s="17"/>
    </row>
    <row r="45" spans="1:22" ht="16" thickBot="1" x14ac:dyDescent="0.25">
      <c r="A45" s="18"/>
      <c r="B45" s="19"/>
      <c r="C45" s="19"/>
      <c r="D45" s="19"/>
      <c r="E45" s="19"/>
      <c r="F45" s="19"/>
      <c r="G45" s="19"/>
      <c r="H45" s="19"/>
      <c r="I45" s="19"/>
      <c r="J45" s="19"/>
      <c r="K45" s="19"/>
      <c r="L45" s="19"/>
      <c r="M45" s="19"/>
      <c r="N45" s="19"/>
      <c r="O45" s="19"/>
      <c r="P45" s="19"/>
      <c r="Q45" s="19"/>
      <c r="R45" s="19"/>
      <c r="S45" s="19"/>
      <c r="T45" s="19"/>
      <c r="U45" s="19"/>
      <c r="V45" s="20"/>
    </row>
    <row r="46" spans="1:22" ht="16" hidden="1" thickTop="1" x14ac:dyDescent="0.2"/>
  </sheetData>
  <mergeCells count="11">
    <mergeCell ref="I13:U16"/>
    <mergeCell ref="B14:F15"/>
    <mergeCell ref="B22:F38"/>
    <mergeCell ref="D19:F19"/>
    <mergeCell ref="D21:F21"/>
    <mergeCell ref="B21:C21"/>
    <mergeCell ref="B17:C17"/>
    <mergeCell ref="B18:C18"/>
    <mergeCell ref="B19:C19"/>
    <mergeCell ref="D17:F17"/>
    <mergeCell ref="D18:F18"/>
  </mergeCell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320199E5-4DE9-0E45-9848-7A0A4C5FDF86}">
          <x14:formula1>
            <xm:f>Referencias!$B$2:$B$9</xm:f>
          </x14:formula1>
          <xm:sqref>I13:U16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4"/>
  <sheetViews>
    <sheetView zoomScale="84" workbookViewId="0">
      <pane xSplit="1" ySplit="1" topLeftCell="B204" activePane="bottomRight" state="frozen"/>
      <selection pane="topRight" activeCell="B1" sqref="B1"/>
      <selection pane="bottomLeft" activeCell="A2" sqref="A2"/>
      <selection pane="bottomRight" activeCell="K19" sqref="K19"/>
    </sheetView>
  </sheetViews>
  <sheetFormatPr baseColWidth="10" defaultColWidth="8.83203125" defaultRowHeight="15" x14ac:dyDescent="0.2"/>
  <cols>
    <col min="1" max="1" width="10.5" bestFit="1" customWidth="1"/>
    <col min="8" max="8" width="11.83203125" bestFit="1" customWidth="1"/>
    <col min="9" max="10" width="11.83203125" customWidth="1"/>
    <col min="11" max="11" width="17.33203125" bestFit="1" customWidth="1"/>
    <col min="12" max="12" width="20.5" bestFit="1" customWidth="1"/>
  </cols>
  <sheetData>
    <row r="1" spans="1:20" x14ac:dyDescent="0.2">
      <c r="A1" t="s">
        <v>0</v>
      </c>
      <c r="B1" t="s">
        <v>1</v>
      </c>
      <c r="C1" t="s">
        <v>2</v>
      </c>
      <c r="D1" t="s">
        <v>3</v>
      </c>
      <c r="E1" t="s">
        <v>4</v>
      </c>
      <c r="F1" t="s">
        <v>5</v>
      </c>
      <c r="G1" t="s">
        <v>14</v>
      </c>
      <c r="H1" t="s">
        <v>10</v>
      </c>
      <c r="I1" t="s">
        <v>13</v>
      </c>
      <c r="J1" t="s">
        <v>15</v>
      </c>
      <c r="K1" t="s">
        <v>11</v>
      </c>
      <c r="L1" t="s">
        <v>12</v>
      </c>
    </row>
    <row r="2" spans="1:20" x14ac:dyDescent="0.2">
      <c r="A2" s="1">
        <v>44620</v>
      </c>
      <c r="B2">
        <v>63.580002</v>
      </c>
      <c r="C2">
        <v>65.050003000000004</v>
      </c>
      <c r="D2">
        <v>62.57</v>
      </c>
      <c r="E2">
        <v>63.07</v>
      </c>
      <c r="K2">
        <v>0.4</v>
      </c>
      <c r="L2">
        <f>2/(4*5)</f>
        <v>0.1</v>
      </c>
      <c r="T2" t="s">
        <v>6</v>
      </c>
    </row>
    <row r="3" spans="1:20" x14ac:dyDescent="0.2">
      <c r="A3" s="1">
        <v>44621</v>
      </c>
      <c r="B3">
        <v>63.189999</v>
      </c>
      <c r="C3">
        <v>64.139999000000003</v>
      </c>
      <c r="D3">
        <v>60.299999</v>
      </c>
      <c r="E3">
        <v>62.330002</v>
      </c>
      <c r="K3">
        <v>0.30000000000000004</v>
      </c>
      <c r="L3">
        <f>L2*2</f>
        <v>0.2</v>
      </c>
      <c r="T3" t="s">
        <v>7</v>
      </c>
    </row>
    <row r="4" spans="1:20" x14ac:dyDescent="0.2">
      <c r="A4" s="1">
        <v>44622</v>
      </c>
      <c r="B4">
        <v>62.529998999999997</v>
      </c>
      <c r="C4">
        <v>63.709999000000003</v>
      </c>
      <c r="D4">
        <v>61.700001</v>
      </c>
      <c r="E4">
        <v>61.900002000000001</v>
      </c>
      <c r="K4">
        <v>0.2</v>
      </c>
      <c r="L4">
        <f>L2*3</f>
        <v>0.30000000000000004</v>
      </c>
      <c r="T4" t="s">
        <v>8</v>
      </c>
    </row>
    <row r="5" spans="1:20" x14ac:dyDescent="0.2">
      <c r="A5" s="1">
        <v>44623</v>
      </c>
      <c r="B5">
        <v>61.959999000000003</v>
      </c>
      <c r="C5">
        <v>62.610000999999997</v>
      </c>
      <c r="D5">
        <v>58.810001</v>
      </c>
      <c r="E5">
        <v>59.209999000000003</v>
      </c>
      <c r="G5">
        <f>AVERAGE(E2:E5)</f>
        <v>61.627500750000003</v>
      </c>
      <c r="H5">
        <f>SUMPRODUCT(E2:E5,$K$2:$K$5)</f>
        <v>62.228000899999998</v>
      </c>
      <c r="I5">
        <f>SUMPRODUCT(E2:E5,$L$2:$L$5)</f>
        <v>61.027000600000008</v>
      </c>
      <c r="J5">
        <f>AVERAGE(E2:E5)</f>
        <v>61.627500750000003</v>
      </c>
      <c r="K5">
        <v>0.1</v>
      </c>
      <c r="L5">
        <f>L2*4</f>
        <v>0.4</v>
      </c>
      <c r="T5" t="s">
        <v>9</v>
      </c>
    </row>
    <row r="6" spans="1:20" x14ac:dyDescent="0.2">
      <c r="A6" s="1">
        <v>44624</v>
      </c>
      <c r="B6">
        <v>59.189999</v>
      </c>
      <c r="C6">
        <v>59.400002000000001</v>
      </c>
      <c r="D6">
        <v>57.200001</v>
      </c>
      <c r="E6">
        <v>57.439999</v>
      </c>
      <c r="G6">
        <f t="shared" ref="G6:G69" si="0">AVERAGE(E3:E6)</f>
        <v>60.220000500000005</v>
      </c>
      <c r="H6">
        <f>SUMPRODUCT(E3:E6,$K$2:$K$5)</f>
        <v>61.088001100000007</v>
      </c>
      <c r="I6">
        <f t="shared" ref="I6:I69" si="1">SUMPRODUCT(E3:E6,$L$2:$L$5)</f>
        <v>59.351999900000003</v>
      </c>
      <c r="J6">
        <f>$L$7*E6+(1-$L$7)*J5</f>
        <v>59.952500050000005</v>
      </c>
      <c r="K6">
        <f>SUM(K2:K5)</f>
        <v>1.0000000000000002</v>
      </c>
      <c r="L6">
        <f>SUM(L2:L5)</f>
        <v>1</v>
      </c>
      <c r="T6" s="2">
        <v>90100</v>
      </c>
    </row>
    <row r="7" spans="1:20" x14ac:dyDescent="0.2">
      <c r="A7" s="1">
        <v>44627</v>
      </c>
      <c r="B7">
        <v>57.220001000000003</v>
      </c>
      <c r="C7">
        <v>57.32</v>
      </c>
      <c r="D7">
        <v>52.959999000000003</v>
      </c>
      <c r="E7">
        <v>53.200001</v>
      </c>
      <c r="G7">
        <f t="shared" si="0"/>
        <v>57.937500249999999</v>
      </c>
      <c r="H7">
        <f t="shared" ref="H7:H70" si="2">SUMPRODUCT(E4:E7,$K$2:$K$5)</f>
        <v>59.331000400000008</v>
      </c>
      <c r="I7">
        <f t="shared" si="1"/>
        <v>56.544000100000005</v>
      </c>
      <c r="J7">
        <f>$L$7*E7+(1-$L$7)*J6</f>
        <v>57.251500430000007</v>
      </c>
      <c r="K7" t="s">
        <v>16</v>
      </c>
      <c r="L7">
        <f>2/(4+1)</f>
        <v>0.4</v>
      </c>
    </row>
    <row r="8" spans="1:20" x14ac:dyDescent="0.2">
      <c r="A8" s="1">
        <v>44628</v>
      </c>
      <c r="B8">
        <v>53.389999000000003</v>
      </c>
      <c r="C8">
        <v>54.59</v>
      </c>
      <c r="D8">
        <v>51.779998999999997</v>
      </c>
      <c r="E8">
        <v>54.209999000000003</v>
      </c>
      <c r="G8">
        <f t="shared" si="0"/>
        <v>56.014999500000009</v>
      </c>
      <c r="H8">
        <f t="shared" si="2"/>
        <v>56.976999400000011</v>
      </c>
      <c r="I8">
        <f t="shared" si="1"/>
        <v>55.052999600000007</v>
      </c>
      <c r="J8">
        <f t="shared" ref="J8:J70" si="3">$L$7*E8+(1-$L$7)*J7</f>
        <v>56.034899858000003</v>
      </c>
    </row>
    <row r="9" spans="1:20" x14ac:dyDescent="0.2">
      <c r="A9" s="1">
        <v>44629</v>
      </c>
      <c r="B9">
        <v>54.77</v>
      </c>
      <c r="C9">
        <v>57</v>
      </c>
      <c r="D9">
        <v>54.209999000000003</v>
      </c>
      <c r="E9">
        <v>56.459999000000003</v>
      </c>
      <c r="G9">
        <f t="shared" si="0"/>
        <v>55.327499500000002</v>
      </c>
      <c r="H9">
        <f t="shared" si="2"/>
        <v>55.423999600000009</v>
      </c>
      <c r="I9">
        <f t="shared" si="1"/>
        <v>55.230999400000002</v>
      </c>
      <c r="J9">
        <f t="shared" si="3"/>
        <v>56.204939514800003</v>
      </c>
    </row>
    <row r="10" spans="1:20" x14ac:dyDescent="0.2">
      <c r="A10" s="1">
        <v>44630</v>
      </c>
      <c r="B10">
        <v>56.490001999999997</v>
      </c>
      <c r="C10">
        <v>58.209999000000003</v>
      </c>
      <c r="D10">
        <v>55.009998000000003</v>
      </c>
      <c r="E10">
        <v>57.099997999999999</v>
      </c>
      <c r="G10">
        <f t="shared" si="0"/>
        <v>55.242499250000002</v>
      </c>
      <c r="H10">
        <f t="shared" si="2"/>
        <v>54.544999699999998</v>
      </c>
      <c r="I10">
        <f t="shared" si="1"/>
        <v>55.939998800000005</v>
      </c>
      <c r="J10">
        <f t="shared" si="3"/>
        <v>56.562962908880003</v>
      </c>
    </row>
    <row r="11" spans="1:20" x14ac:dyDescent="0.2">
      <c r="A11" s="1">
        <v>44631</v>
      </c>
      <c r="B11">
        <v>57.360000999999997</v>
      </c>
      <c r="C11">
        <v>58</v>
      </c>
      <c r="D11">
        <v>55.400002000000001</v>
      </c>
      <c r="E11">
        <v>56.650002000000001</v>
      </c>
      <c r="G11">
        <f t="shared" si="0"/>
        <v>56.104999499999998</v>
      </c>
      <c r="H11">
        <f t="shared" si="2"/>
        <v>55.706999100000012</v>
      </c>
      <c r="I11">
        <f t="shared" si="1"/>
        <v>56.502999900000006</v>
      </c>
      <c r="J11">
        <f t="shared" si="3"/>
        <v>56.597778545327998</v>
      </c>
    </row>
    <row r="12" spans="1:20" x14ac:dyDescent="0.2">
      <c r="A12" s="1">
        <v>44634</v>
      </c>
      <c r="B12">
        <v>56.75</v>
      </c>
      <c r="C12">
        <v>56.75</v>
      </c>
      <c r="D12">
        <v>54.52</v>
      </c>
      <c r="E12">
        <v>55.200001</v>
      </c>
      <c r="G12">
        <f t="shared" si="0"/>
        <v>56.352500000000006</v>
      </c>
      <c r="H12">
        <f t="shared" si="2"/>
        <v>56.563999500000008</v>
      </c>
      <c r="I12">
        <f t="shared" si="1"/>
        <v>56.141000500000004</v>
      </c>
      <c r="J12">
        <f t="shared" si="3"/>
        <v>56.0386675271968</v>
      </c>
    </row>
    <row r="13" spans="1:20" x14ac:dyDescent="0.2">
      <c r="A13" s="1">
        <v>44635</v>
      </c>
      <c r="B13">
        <v>55.200001</v>
      </c>
      <c r="C13">
        <v>57.900002000000001</v>
      </c>
      <c r="D13">
        <v>53.810001</v>
      </c>
      <c r="E13">
        <v>56.27</v>
      </c>
      <c r="G13">
        <f t="shared" si="0"/>
        <v>56.305000249999999</v>
      </c>
      <c r="H13">
        <f t="shared" si="2"/>
        <v>56.50200000000001</v>
      </c>
      <c r="I13">
        <f t="shared" si="1"/>
        <v>56.10800050000001</v>
      </c>
      <c r="J13">
        <f t="shared" si="3"/>
        <v>56.131200516318081</v>
      </c>
    </row>
    <row r="14" spans="1:20" x14ac:dyDescent="0.2">
      <c r="A14" s="1">
        <v>44636</v>
      </c>
      <c r="B14">
        <v>56.689999</v>
      </c>
      <c r="C14">
        <v>60.400002000000001</v>
      </c>
      <c r="D14">
        <v>56.689999</v>
      </c>
      <c r="E14">
        <v>58.889999000000003</v>
      </c>
      <c r="G14">
        <f t="shared" si="0"/>
        <v>56.752500499999996</v>
      </c>
      <c r="H14">
        <f t="shared" si="2"/>
        <v>56.363001000000011</v>
      </c>
      <c r="I14">
        <f t="shared" si="1"/>
        <v>57.14200000000001</v>
      </c>
      <c r="J14">
        <f t="shared" si="3"/>
        <v>57.234719909790854</v>
      </c>
      <c r="K14" s="48" t="s">
        <v>17</v>
      </c>
      <c r="L14" s="48"/>
    </row>
    <row r="15" spans="1:20" x14ac:dyDescent="0.2">
      <c r="A15" s="1">
        <v>44637</v>
      </c>
      <c r="B15">
        <v>58.700001</v>
      </c>
      <c r="C15">
        <v>59.700001</v>
      </c>
      <c r="D15">
        <v>57.66</v>
      </c>
      <c r="E15">
        <v>58.720001000000003</v>
      </c>
      <c r="G15">
        <f t="shared" si="0"/>
        <v>57.270000250000002</v>
      </c>
      <c r="H15">
        <f t="shared" si="2"/>
        <v>56.611000300000008</v>
      </c>
      <c r="I15">
        <f t="shared" si="1"/>
        <v>57.929000200000011</v>
      </c>
      <c r="J15">
        <f t="shared" si="3"/>
        <v>57.828832345874517</v>
      </c>
      <c r="K15" s="48"/>
      <c r="L15" s="48"/>
    </row>
    <row r="16" spans="1:20" x14ac:dyDescent="0.2">
      <c r="A16" s="1">
        <v>44638</v>
      </c>
      <c r="B16">
        <v>58.400002000000001</v>
      </c>
      <c r="C16">
        <v>59.5</v>
      </c>
      <c r="D16">
        <v>57.41</v>
      </c>
      <c r="E16">
        <v>57.98</v>
      </c>
      <c r="G16">
        <f t="shared" si="0"/>
        <v>57.964999999999996</v>
      </c>
      <c r="H16">
        <f t="shared" si="2"/>
        <v>57.716999900000012</v>
      </c>
      <c r="I16">
        <f t="shared" si="1"/>
        <v>58.213000100000009</v>
      </c>
      <c r="J16">
        <f t="shared" si="3"/>
        <v>57.88929940752471</v>
      </c>
    </row>
    <row r="17" spans="1:10" x14ac:dyDescent="0.2">
      <c r="A17" s="1">
        <v>44642</v>
      </c>
      <c r="B17">
        <v>58.16</v>
      </c>
      <c r="C17">
        <v>59.580002</v>
      </c>
      <c r="D17">
        <v>55.759998000000003</v>
      </c>
      <c r="E17">
        <v>59.290000999999997</v>
      </c>
      <c r="G17">
        <f t="shared" si="0"/>
        <v>58.720000249999998</v>
      </c>
      <c r="H17">
        <f t="shared" si="2"/>
        <v>58.697000000000003</v>
      </c>
      <c r="I17">
        <f t="shared" si="1"/>
        <v>58.743000500000008</v>
      </c>
      <c r="J17">
        <f t="shared" si="3"/>
        <v>58.449580044514825</v>
      </c>
    </row>
    <row r="18" spans="1:10" x14ac:dyDescent="0.2">
      <c r="A18" s="1">
        <v>44643</v>
      </c>
      <c r="B18">
        <v>58.880001</v>
      </c>
      <c r="C18">
        <v>59.150002000000001</v>
      </c>
      <c r="D18">
        <v>57</v>
      </c>
      <c r="E18">
        <v>57.490001999999997</v>
      </c>
      <c r="G18">
        <f t="shared" si="0"/>
        <v>58.370001000000002</v>
      </c>
      <c r="H18">
        <f t="shared" si="2"/>
        <v>58.489000800000007</v>
      </c>
      <c r="I18">
        <f t="shared" si="1"/>
        <v>58.251001200000005</v>
      </c>
      <c r="J18">
        <f t="shared" si="3"/>
        <v>58.065748826708898</v>
      </c>
    </row>
    <row r="19" spans="1:10" x14ac:dyDescent="0.2">
      <c r="A19" s="1">
        <v>44644</v>
      </c>
      <c r="B19">
        <v>58.139999000000003</v>
      </c>
      <c r="C19">
        <v>58.299999</v>
      </c>
      <c r="D19">
        <v>56.75</v>
      </c>
      <c r="E19">
        <v>57.73</v>
      </c>
      <c r="G19">
        <f t="shared" si="0"/>
        <v>58.122500749999993</v>
      </c>
      <c r="H19">
        <f t="shared" si="2"/>
        <v>58.250000700000001</v>
      </c>
      <c r="I19">
        <f t="shared" si="1"/>
        <v>57.9950008</v>
      </c>
      <c r="J19">
        <f t="shared" si="3"/>
        <v>57.931449296025335</v>
      </c>
    </row>
    <row r="20" spans="1:10" x14ac:dyDescent="0.2">
      <c r="A20" s="1">
        <v>44645</v>
      </c>
      <c r="B20">
        <v>57.810001</v>
      </c>
      <c r="C20">
        <v>58.75</v>
      </c>
      <c r="D20">
        <v>56.82</v>
      </c>
      <c r="E20">
        <v>58.279998999999997</v>
      </c>
      <c r="G20">
        <f t="shared" si="0"/>
        <v>58.197500499999997</v>
      </c>
      <c r="H20">
        <f t="shared" si="2"/>
        <v>58.337000900000007</v>
      </c>
      <c r="I20">
        <f t="shared" si="1"/>
        <v>58.058000100000001</v>
      </c>
      <c r="J20">
        <f t="shared" si="3"/>
        <v>58.070869177615201</v>
      </c>
    </row>
    <row r="21" spans="1:10" x14ac:dyDescent="0.2">
      <c r="A21" s="1">
        <v>44648</v>
      </c>
      <c r="B21">
        <v>58.279998999999997</v>
      </c>
      <c r="C21">
        <v>59.490001999999997</v>
      </c>
      <c r="D21">
        <v>57.779998999999997</v>
      </c>
      <c r="E21">
        <v>59.220001000000003</v>
      </c>
      <c r="G21">
        <f t="shared" si="0"/>
        <v>58.180000499999998</v>
      </c>
      <c r="H21">
        <f t="shared" si="2"/>
        <v>57.893000700000009</v>
      </c>
      <c r="I21">
        <f t="shared" si="1"/>
        <v>58.467000300000009</v>
      </c>
      <c r="J21">
        <f t="shared" si="3"/>
        <v>58.53052190656912</v>
      </c>
    </row>
    <row r="22" spans="1:10" x14ac:dyDescent="0.2">
      <c r="A22" s="1">
        <v>44649</v>
      </c>
      <c r="B22">
        <v>59.099997999999999</v>
      </c>
      <c r="C22">
        <v>61.5</v>
      </c>
      <c r="D22">
        <v>58.57</v>
      </c>
      <c r="E22">
        <v>60.599997999999999</v>
      </c>
      <c r="G22">
        <f t="shared" si="0"/>
        <v>58.957499499999997</v>
      </c>
      <c r="H22">
        <f t="shared" si="2"/>
        <v>58.4799997</v>
      </c>
      <c r="I22">
        <f t="shared" si="1"/>
        <v>59.434999300000001</v>
      </c>
      <c r="J22">
        <f t="shared" si="3"/>
        <v>59.358312343941471</v>
      </c>
    </row>
    <row r="23" spans="1:10" x14ac:dyDescent="0.2">
      <c r="A23" s="1">
        <v>44650</v>
      </c>
      <c r="B23">
        <v>60.490001999999997</v>
      </c>
      <c r="C23">
        <v>60.529998999999997</v>
      </c>
      <c r="D23">
        <v>58.509998000000003</v>
      </c>
      <c r="E23">
        <v>60.119999</v>
      </c>
      <c r="G23">
        <f t="shared" si="0"/>
        <v>59.554999250000002</v>
      </c>
      <c r="H23">
        <f t="shared" si="2"/>
        <v>59.209999400000008</v>
      </c>
      <c r="I23">
        <f t="shared" si="1"/>
        <v>59.899999100000002</v>
      </c>
      <c r="J23">
        <f t="shared" si="3"/>
        <v>59.662987006364887</v>
      </c>
    </row>
    <row r="24" spans="1:10" x14ac:dyDescent="0.2">
      <c r="A24" s="1">
        <v>44651</v>
      </c>
      <c r="B24">
        <v>60.040000999999997</v>
      </c>
      <c r="C24">
        <v>60.970001000000003</v>
      </c>
      <c r="D24">
        <v>59.41</v>
      </c>
      <c r="E24">
        <v>60.060001</v>
      </c>
      <c r="G24">
        <f t="shared" si="0"/>
        <v>59.999999750000001</v>
      </c>
      <c r="H24">
        <f t="shared" si="2"/>
        <v>59.897999700000007</v>
      </c>
      <c r="I24">
        <f t="shared" si="1"/>
        <v>60.101999800000002</v>
      </c>
      <c r="J24">
        <f t="shared" si="3"/>
        <v>59.821792603818935</v>
      </c>
    </row>
    <row r="25" spans="1:10" x14ac:dyDescent="0.2">
      <c r="A25" s="1">
        <v>44652</v>
      </c>
      <c r="B25">
        <v>59.799999</v>
      </c>
      <c r="C25">
        <v>63.400002000000001</v>
      </c>
      <c r="D25">
        <v>59.799999</v>
      </c>
      <c r="E25">
        <v>62.98</v>
      </c>
      <c r="G25">
        <f t="shared" si="0"/>
        <v>60.939999499999999</v>
      </c>
      <c r="H25">
        <f t="shared" si="2"/>
        <v>60.585999100000009</v>
      </c>
      <c r="I25">
        <f t="shared" si="1"/>
        <v>61.293999900000003</v>
      </c>
      <c r="J25">
        <f t="shared" si="3"/>
        <v>61.085075562291358</v>
      </c>
    </row>
    <row r="26" spans="1:10" x14ac:dyDescent="0.2">
      <c r="A26" s="1">
        <v>44655</v>
      </c>
      <c r="B26">
        <v>63</v>
      </c>
      <c r="C26">
        <v>66</v>
      </c>
      <c r="D26">
        <v>62.549999</v>
      </c>
      <c r="E26">
        <v>64.319999999999993</v>
      </c>
      <c r="G26">
        <f t="shared" si="0"/>
        <v>61.87</v>
      </c>
      <c r="H26">
        <f t="shared" si="2"/>
        <v>61.093999900000014</v>
      </c>
      <c r="I26">
        <f t="shared" si="1"/>
        <v>62.646000099999995</v>
      </c>
      <c r="J26">
        <f t="shared" si="3"/>
        <v>62.379045337374805</v>
      </c>
    </row>
    <row r="27" spans="1:10" x14ac:dyDescent="0.2">
      <c r="A27" s="1">
        <v>44656</v>
      </c>
      <c r="B27">
        <v>64.150002000000001</v>
      </c>
      <c r="C27">
        <v>64.410004000000001</v>
      </c>
      <c r="D27">
        <v>62.23</v>
      </c>
      <c r="E27">
        <v>62.5</v>
      </c>
      <c r="G27">
        <f t="shared" si="0"/>
        <v>62.465000249999996</v>
      </c>
      <c r="H27">
        <f t="shared" si="2"/>
        <v>62.032000400000001</v>
      </c>
      <c r="I27">
        <f t="shared" si="1"/>
        <v>62.898000100000004</v>
      </c>
      <c r="J27">
        <f t="shared" si="3"/>
        <v>62.42742720242488</v>
      </c>
    </row>
    <row r="28" spans="1:10" x14ac:dyDescent="0.2">
      <c r="A28" s="1">
        <v>44657</v>
      </c>
      <c r="B28">
        <v>62.220001000000003</v>
      </c>
      <c r="C28">
        <v>62.220001000000003</v>
      </c>
      <c r="D28">
        <v>59.009998000000003</v>
      </c>
      <c r="E28">
        <v>59.509998000000003</v>
      </c>
      <c r="G28">
        <f t="shared" si="0"/>
        <v>62.327499499999995</v>
      </c>
      <c r="H28">
        <f t="shared" si="2"/>
        <v>62.938999799999998</v>
      </c>
      <c r="I28">
        <f t="shared" si="1"/>
        <v>61.715999200000013</v>
      </c>
      <c r="J28">
        <f t="shared" si="3"/>
        <v>61.260455521454929</v>
      </c>
    </row>
    <row r="29" spans="1:10" x14ac:dyDescent="0.2">
      <c r="A29" s="1">
        <v>44658</v>
      </c>
      <c r="B29">
        <v>59.700001</v>
      </c>
      <c r="C29">
        <v>60.619999</v>
      </c>
      <c r="D29">
        <v>59.09</v>
      </c>
      <c r="E29">
        <v>59.5</v>
      </c>
      <c r="G29">
        <f t="shared" si="0"/>
        <v>61.457499499999997</v>
      </c>
      <c r="H29">
        <f t="shared" si="2"/>
        <v>62.329999600000008</v>
      </c>
      <c r="I29">
        <f t="shared" si="1"/>
        <v>60.584999400000001</v>
      </c>
      <c r="J29">
        <f t="shared" si="3"/>
        <v>60.55627331287296</v>
      </c>
    </row>
    <row r="30" spans="1:10" x14ac:dyDescent="0.2">
      <c r="A30" s="1">
        <v>44659</v>
      </c>
      <c r="B30">
        <v>59.599997999999999</v>
      </c>
      <c r="C30">
        <v>59.599997999999999</v>
      </c>
      <c r="D30">
        <v>57.669998</v>
      </c>
      <c r="E30">
        <v>59.220001000000003</v>
      </c>
      <c r="G30">
        <f t="shared" si="0"/>
        <v>60.182499749999998</v>
      </c>
      <c r="H30">
        <f t="shared" si="2"/>
        <v>60.674999499999998</v>
      </c>
      <c r="I30">
        <f t="shared" si="1"/>
        <v>59.690000000000012</v>
      </c>
      <c r="J30">
        <f t="shared" si="3"/>
        <v>60.021764387723778</v>
      </c>
    </row>
    <row r="31" spans="1:10" x14ac:dyDescent="0.2">
      <c r="A31" s="1">
        <v>44662</v>
      </c>
      <c r="B31">
        <v>59.009998000000003</v>
      </c>
      <c r="C31">
        <v>59.009998000000003</v>
      </c>
      <c r="D31">
        <v>57.529998999999997</v>
      </c>
      <c r="E31">
        <v>58.41</v>
      </c>
      <c r="F31">
        <f>AVERAGE(E2:E31)</f>
        <v>58.92866673333333</v>
      </c>
      <c r="G31">
        <f t="shared" si="0"/>
        <v>59.159999749999997</v>
      </c>
      <c r="H31">
        <f t="shared" si="2"/>
        <v>59.338999400000006</v>
      </c>
      <c r="I31">
        <f t="shared" si="1"/>
        <v>58.981000100000003</v>
      </c>
      <c r="J31">
        <f t="shared" si="3"/>
        <v>59.37705863263426</v>
      </c>
    </row>
    <row r="32" spans="1:10" x14ac:dyDescent="0.2">
      <c r="A32" s="1">
        <v>44663</v>
      </c>
      <c r="B32">
        <v>58.860000999999997</v>
      </c>
      <c r="C32">
        <v>59.150002000000001</v>
      </c>
      <c r="D32">
        <v>56.009998000000003</v>
      </c>
      <c r="E32">
        <v>56.650002000000001</v>
      </c>
      <c r="F32">
        <f t="shared" ref="F32:F95" si="4">AVERAGE(E3:E32)</f>
        <v>58.714666800000003</v>
      </c>
      <c r="G32">
        <f t="shared" si="0"/>
        <v>58.445000749999998</v>
      </c>
      <c r="H32">
        <f t="shared" si="2"/>
        <v>58.91300050000001</v>
      </c>
      <c r="I32">
        <f t="shared" si="1"/>
        <v>57.977001000000016</v>
      </c>
      <c r="J32">
        <f t="shared" si="3"/>
        <v>58.286235979580553</v>
      </c>
    </row>
    <row r="33" spans="1:10" x14ac:dyDescent="0.2">
      <c r="A33" s="1">
        <v>44664</v>
      </c>
      <c r="B33">
        <v>56.91</v>
      </c>
      <c r="C33">
        <v>58.169998</v>
      </c>
      <c r="D33">
        <v>56.240001999999997</v>
      </c>
      <c r="E33">
        <v>57.779998999999997</v>
      </c>
      <c r="F33">
        <f t="shared" si="4"/>
        <v>58.563000033333331</v>
      </c>
      <c r="G33">
        <f t="shared" si="0"/>
        <v>58.015000499999999</v>
      </c>
      <c r="H33">
        <f t="shared" si="2"/>
        <v>58.319000700000004</v>
      </c>
      <c r="I33">
        <f t="shared" si="1"/>
        <v>57.711000300000009</v>
      </c>
      <c r="J33">
        <f t="shared" si="3"/>
        <v>58.083741187748331</v>
      </c>
    </row>
    <row r="34" spans="1:10" x14ac:dyDescent="0.2">
      <c r="A34" s="1">
        <v>44669</v>
      </c>
      <c r="B34">
        <v>57.779998999999997</v>
      </c>
      <c r="C34">
        <v>58.259998000000003</v>
      </c>
      <c r="D34">
        <v>57.150002000000001</v>
      </c>
      <c r="E34">
        <v>57.779998999999997</v>
      </c>
      <c r="F34">
        <f t="shared" si="4"/>
        <v>58.425666600000007</v>
      </c>
      <c r="G34">
        <f t="shared" si="0"/>
        <v>57.655000000000001</v>
      </c>
      <c r="H34">
        <f t="shared" si="2"/>
        <v>57.693000300000001</v>
      </c>
      <c r="I34">
        <f t="shared" si="1"/>
        <v>57.616999700000008</v>
      </c>
      <c r="J34">
        <f t="shared" si="3"/>
        <v>57.962244312648991</v>
      </c>
    </row>
    <row r="35" spans="1:10" x14ac:dyDescent="0.2">
      <c r="A35" s="1">
        <v>44670</v>
      </c>
      <c r="B35">
        <v>57.849997999999999</v>
      </c>
      <c r="C35">
        <v>59.889999000000003</v>
      </c>
      <c r="D35">
        <v>57.639999000000003</v>
      </c>
      <c r="E35">
        <v>59.610000999999997</v>
      </c>
      <c r="F35">
        <f t="shared" si="4"/>
        <v>58.439</v>
      </c>
      <c r="G35">
        <f t="shared" si="0"/>
        <v>57.955000249999998</v>
      </c>
      <c r="H35">
        <f t="shared" si="2"/>
        <v>57.511000400000007</v>
      </c>
      <c r="I35">
        <f t="shared" si="1"/>
        <v>58.399000100000002</v>
      </c>
      <c r="J35">
        <f t="shared" si="3"/>
        <v>58.621346987589391</v>
      </c>
    </row>
    <row r="36" spans="1:10" x14ac:dyDescent="0.2">
      <c r="A36" s="1">
        <v>44671</v>
      </c>
      <c r="B36">
        <v>59.779998999999997</v>
      </c>
      <c r="C36">
        <v>59.779998999999997</v>
      </c>
      <c r="D36">
        <v>57.41</v>
      </c>
      <c r="E36">
        <v>57.610000999999997</v>
      </c>
      <c r="F36">
        <f t="shared" si="4"/>
        <v>58.444666733333335</v>
      </c>
      <c r="G36">
        <f t="shared" si="0"/>
        <v>58.194999999999993</v>
      </c>
      <c r="H36">
        <f t="shared" si="2"/>
        <v>58.1289996</v>
      </c>
      <c r="I36">
        <f t="shared" si="1"/>
        <v>58.2610004</v>
      </c>
      <c r="J36">
        <f t="shared" si="3"/>
        <v>58.216808592553633</v>
      </c>
    </row>
    <row r="37" spans="1:10" x14ac:dyDescent="0.2">
      <c r="A37" s="1">
        <v>44672</v>
      </c>
      <c r="B37">
        <v>58.130001</v>
      </c>
      <c r="C37">
        <v>58.130001</v>
      </c>
      <c r="D37">
        <v>55.41</v>
      </c>
      <c r="E37">
        <v>55.84</v>
      </c>
      <c r="F37">
        <f t="shared" si="4"/>
        <v>58.532666700000007</v>
      </c>
      <c r="G37">
        <f t="shared" si="0"/>
        <v>57.71000025</v>
      </c>
      <c r="H37">
        <f t="shared" si="2"/>
        <v>58.101000100000007</v>
      </c>
      <c r="I37">
        <f t="shared" si="1"/>
        <v>57.319000400000007</v>
      </c>
      <c r="J37">
        <f t="shared" si="3"/>
        <v>57.266085155532181</v>
      </c>
    </row>
    <row r="38" spans="1:10" x14ac:dyDescent="0.2">
      <c r="A38" s="1">
        <v>44673</v>
      </c>
      <c r="B38">
        <v>56.110000999999997</v>
      </c>
      <c r="C38">
        <v>56.860000999999997</v>
      </c>
      <c r="D38">
        <v>55.810001</v>
      </c>
      <c r="E38">
        <v>55.990001999999997</v>
      </c>
      <c r="F38">
        <f t="shared" si="4"/>
        <v>58.592000133333343</v>
      </c>
      <c r="G38">
        <f t="shared" si="0"/>
        <v>57.262501</v>
      </c>
      <c r="H38">
        <f t="shared" si="2"/>
        <v>57.894000899999995</v>
      </c>
      <c r="I38">
        <f t="shared" si="1"/>
        <v>56.631001100000006</v>
      </c>
      <c r="J38">
        <f t="shared" si="3"/>
        <v>56.75565189331931</v>
      </c>
    </row>
    <row r="39" spans="1:10" x14ac:dyDescent="0.2">
      <c r="A39" s="1">
        <v>44676</v>
      </c>
      <c r="B39">
        <v>56.040000999999997</v>
      </c>
      <c r="C39">
        <v>57.380001</v>
      </c>
      <c r="D39">
        <v>55.27</v>
      </c>
      <c r="E39">
        <v>56.139999000000003</v>
      </c>
      <c r="F39">
        <f t="shared" si="4"/>
        <v>58.581333466666678</v>
      </c>
      <c r="G39">
        <f t="shared" si="0"/>
        <v>56.395000499999995</v>
      </c>
      <c r="H39">
        <f t="shared" si="2"/>
        <v>56.608000700000005</v>
      </c>
      <c r="I39">
        <f t="shared" si="1"/>
        <v>56.182000299999999</v>
      </c>
      <c r="J39">
        <f t="shared" si="3"/>
        <v>56.509390735991587</v>
      </c>
    </row>
    <row r="40" spans="1:10" x14ac:dyDescent="0.2">
      <c r="A40" s="1">
        <v>44677</v>
      </c>
      <c r="B40">
        <v>56.16</v>
      </c>
      <c r="C40">
        <v>57.240001999999997</v>
      </c>
      <c r="D40">
        <v>54.509998000000003</v>
      </c>
      <c r="E40">
        <v>56.189999</v>
      </c>
      <c r="F40">
        <f t="shared" si="4"/>
        <v>58.551000166666668</v>
      </c>
      <c r="G40">
        <f t="shared" si="0"/>
        <v>56.040000000000006</v>
      </c>
      <c r="H40">
        <f t="shared" si="2"/>
        <v>55.9800003</v>
      </c>
      <c r="I40">
        <f t="shared" si="1"/>
        <v>56.099999700000005</v>
      </c>
      <c r="J40">
        <f t="shared" si="3"/>
        <v>56.38163404159495</v>
      </c>
    </row>
    <row r="41" spans="1:10" x14ac:dyDescent="0.2">
      <c r="A41" s="1">
        <v>44678</v>
      </c>
      <c r="B41">
        <v>56.689999</v>
      </c>
      <c r="C41">
        <v>62.529998999999997</v>
      </c>
      <c r="D41">
        <v>55.68</v>
      </c>
      <c r="E41">
        <v>61.490001999999997</v>
      </c>
      <c r="F41">
        <f t="shared" si="4"/>
        <v>58.712333500000007</v>
      </c>
      <c r="G41">
        <f t="shared" si="0"/>
        <v>57.452500499999999</v>
      </c>
      <c r="H41">
        <f t="shared" si="2"/>
        <v>56.625000499999999</v>
      </c>
      <c r="I41">
        <f t="shared" si="1"/>
        <v>58.2800005</v>
      </c>
      <c r="J41">
        <f t="shared" si="3"/>
        <v>58.424981224956966</v>
      </c>
    </row>
    <row r="42" spans="1:10" x14ac:dyDescent="0.2">
      <c r="A42" s="1">
        <v>44679</v>
      </c>
      <c r="B42">
        <v>62.150002000000001</v>
      </c>
      <c r="C42">
        <v>63.290000999999997</v>
      </c>
      <c r="D42">
        <v>60.18</v>
      </c>
      <c r="E42">
        <v>62.610000999999997</v>
      </c>
      <c r="F42">
        <f t="shared" si="4"/>
        <v>58.9593335</v>
      </c>
      <c r="G42">
        <f t="shared" si="0"/>
        <v>59.107500250000001</v>
      </c>
      <c r="H42">
        <f t="shared" si="2"/>
        <v>57.871999799999998</v>
      </c>
      <c r="I42">
        <f t="shared" si="1"/>
        <v>60.343000700000005</v>
      </c>
      <c r="J42">
        <f t="shared" si="3"/>
        <v>60.098989134974182</v>
      </c>
    </row>
    <row r="43" spans="1:10" x14ac:dyDescent="0.2">
      <c r="A43" s="1">
        <v>44680</v>
      </c>
      <c r="B43">
        <v>62.189999</v>
      </c>
      <c r="C43">
        <v>63.509998000000003</v>
      </c>
      <c r="D43">
        <v>61.720001000000003</v>
      </c>
      <c r="E43">
        <v>62.900002000000001</v>
      </c>
      <c r="F43">
        <f t="shared" si="4"/>
        <v>59.180333566666675</v>
      </c>
      <c r="G43">
        <f t="shared" si="0"/>
        <v>60.797501000000004</v>
      </c>
      <c r="H43">
        <f t="shared" si="2"/>
        <v>59.735000600000006</v>
      </c>
      <c r="I43">
        <f t="shared" si="1"/>
        <v>61.860001400000002</v>
      </c>
      <c r="J43">
        <f t="shared" si="3"/>
        <v>61.219394280984517</v>
      </c>
    </row>
    <row r="44" spans="1:10" x14ac:dyDescent="0.2">
      <c r="A44" s="1">
        <v>44683</v>
      </c>
      <c r="B44">
        <v>62.98</v>
      </c>
      <c r="C44">
        <v>67.400002000000001</v>
      </c>
      <c r="D44">
        <v>62.029998999999997</v>
      </c>
      <c r="E44">
        <v>67.089995999999999</v>
      </c>
      <c r="F44">
        <f t="shared" si="4"/>
        <v>59.453666800000001</v>
      </c>
      <c r="G44">
        <f t="shared" si="0"/>
        <v>63.522500249999993</v>
      </c>
      <c r="H44">
        <f t="shared" si="2"/>
        <v>62.668001099999998</v>
      </c>
      <c r="I44">
        <f t="shared" si="1"/>
        <v>64.376999400000017</v>
      </c>
      <c r="J44">
        <f t="shared" si="3"/>
        <v>63.56763496859071</v>
      </c>
    </row>
    <row r="45" spans="1:10" x14ac:dyDescent="0.2">
      <c r="A45" s="1">
        <v>44684</v>
      </c>
      <c r="B45">
        <v>66.989998</v>
      </c>
      <c r="C45">
        <v>66.989998</v>
      </c>
      <c r="D45">
        <v>60.66</v>
      </c>
      <c r="E45">
        <v>62.049999</v>
      </c>
      <c r="F45">
        <f t="shared" si="4"/>
        <v>59.564666733333333</v>
      </c>
      <c r="G45">
        <f t="shared" si="0"/>
        <v>63.662499499999996</v>
      </c>
      <c r="H45">
        <f t="shared" si="2"/>
        <v>63.537000100000014</v>
      </c>
      <c r="I45">
        <f t="shared" si="1"/>
        <v>63.787998900000005</v>
      </c>
      <c r="J45">
        <f t="shared" si="3"/>
        <v>62.960580581154424</v>
      </c>
    </row>
    <row r="46" spans="1:10" x14ac:dyDescent="0.2">
      <c r="A46" s="1">
        <v>44685</v>
      </c>
      <c r="B46">
        <v>62.599997999999999</v>
      </c>
      <c r="C46">
        <v>62.599997999999999</v>
      </c>
      <c r="D46">
        <v>58.360000999999997</v>
      </c>
      <c r="E46">
        <v>59.290000999999997</v>
      </c>
      <c r="F46">
        <f t="shared" si="4"/>
        <v>59.608333433333335</v>
      </c>
      <c r="G46">
        <f t="shared" si="0"/>
        <v>62.832499500000004</v>
      </c>
      <c r="H46">
        <f t="shared" si="2"/>
        <v>63.625999500000006</v>
      </c>
      <c r="I46">
        <f t="shared" si="1"/>
        <v>62.038999500000003</v>
      </c>
      <c r="J46">
        <f t="shared" si="3"/>
        <v>61.492348748692649</v>
      </c>
    </row>
    <row r="47" spans="1:10" x14ac:dyDescent="0.2">
      <c r="A47" s="1">
        <v>44686</v>
      </c>
      <c r="B47">
        <v>58.959999000000003</v>
      </c>
      <c r="C47">
        <v>61.279998999999997</v>
      </c>
      <c r="D47">
        <v>57.509998000000003</v>
      </c>
      <c r="E47">
        <v>60.709999000000003</v>
      </c>
      <c r="F47">
        <f t="shared" si="4"/>
        <v>59.65566669999999</v>
      </c>
      <c r="G47">
        <f t="shared" si="0"/>
        <v>62.28499875</v>
      </c>
      <c r="H47">
        <f t="shared" si="2"/>
        <v>63.379998200000003</v>
      </c>
      <c r="I47">
        <f t="shared" si="1"/>
        <v>61.189999300000004</v>
      </c>
      <c r="J47">
        <f t="shared" si="3"/>
        <v>61.179408849215591</v>
      </c>
    </row>
    <row r="48" spans="1:10" x14ac:dyDescent="0.2">
      <c r="A48" s="1">
        <v>44687</v>
      </c>
      <c r="B48">
        <v>59.709999000000003</v>
      </c>
      <c r="C48">
        <v>63.23</v>
      </c>
      <c r="D48">
        <v>59.709999000000003</v>
      </c>
      <c r="E48">
        <v>61.259998000000003</v>
      </c>
      <c r="F48">
        <f t="shared" si="4"/>
        <v>59.781333233333321</v>
      </c>
      <c r="G48">
        <f t="shared" si="0"/>
        <v>60.827499250000002</v>
      </c>
      <c r="H48">
        <f t="shared" si="2"/>
        <v>60.874999500000008</v>
      </c>
      <c r="I48">
        <f t="shared" si="1"/>
        <v>60.779999000000011</v>
      </c>
      <c r="J48">
        <f t="shared" si="3"/>
        <v>61.211644509529357</v>
      </c>
    </row>
    <row r="49" spans="1:10" x14ac:dyDescent="0.2">
      <c r="A49" s="1">
        <v>44690</v>
      </c>
      <c r="B49">
        <v>61.040000999999997</v>
      </c>
      <c r="C49">
        <v>63.900002000000001</v>
      </c>
      <c r="D49">
        <v>60.200001</v>
      </c>
      <c r="E49">
        <v>60.330002</v>
      </c>
      <c r="F49">
        <f t="shared" si="4"/>
        <v>59.867999966666659</v>
      </c>
      <c r="G49">
        <f t="shared" si="0"/>
        <v>60.397500000000001</v>
      </c>
      <c r="H49">
        <f t="shared" si="2"/>
        <v>60.213999900000005</v>
      </c>
      <c r="I49">
        <f t="shared" si="1"/>
        <v>60.581000100000004</v>
      </c>
      <c r="J49">
        <f t="shared" si="3"/>
        <v>60.858987505717614</v>
      </c>
    </row>
    <row r="50" spans="1:10" x14ac:dyDescent="0.2">
      <c r="A50" s="1">
        <v>44691</v>
      </c>
      <c r="B50">
        <v>60.810001</v>
      </c>
      <c r="C50">
        <v>61.18</v>
      </c>
      <c r="D50">
        <v>59.560001</v>
      </c>
      <c r="E50">
        <v>60.27</v>
      </c>
      <c r="F50">
        <f t="shared" si="4"/>
        <v>59.934333333333335</v>
      </c>
      <c r="G50">
        <f t="shared" si="0"/>
        <v>60.642499750000006</v>
      </c>
      <c r="H50">
        <f t="shared" si="2"/>
        <v>60.75499940000001</v>
      </c>
      <c r="I50">
        <f t="shared" si="1"/>
        <v>60.530000100000009</v>
      </c>
      <c r="J50">
        <f t="shared" si="3"/>
        <v>60.623392503430573</v>
      </c>
    </row>
    <row r="51" spans="1:10" x14ac:dyDescent="0.2">
      <c r="A51" s="1">
        <v>44692</v>
      </c>
      <c r="B51">
        <v>60.290000999999997</v>
      </c>
      <c r="C51">
        <v>60.77</v>
      </c>
      <c r="D51">
        <v>57.82</v>
      </c>
      <c r="E51">
        <v>58.130001</v>
      </c>
      <c r="F51">
        <f t="shared" si="4"/>
        <v>59.897999999999996</v>
      </c>
      <c r="G51">
        <f t="shared" si="0"/>
        <v>59.997500250000002</v>
      </c>
      <c r="H51">
        <f t="shared" si="2"/>
        <v>60.469999900000005</v>
      </c>
      <c r="I51">
        <f t="shared" si="1"/>
        <v>59.525000600000006</v>
      </c>
      <c r="J51">
        <f t="shared" si="3"/>
        <v>59.626035902058341</v>
      </c>
    </row>
    <row r="52" spans="1:10" x14ac:dyDescent="0.2">
      <c r="A52" s="1">
        <v>44693</v>
      </c>
      <c r="B52">
        <v>57.889999000000003</v>
      </c>
      <c r="C52">
        <v>59.650002000000001</v>
      </c>
      <c r="D52">
        <v>56.990001999999997</v>
      </c>
      <c r="E52">
        <v>59.369999</v>
      </c>
      <c r="F52">
        <f t="shared" si="4"/>
        <v>59.857000033333328</v>
      </c>
      <c r="G52">
        <f t="shared" si="0"/>
        <v>59.525000500000004</v>
      </c>
      <c r="H52">
        <f t="shared" si="2"/>
        <v>59.7760009</v>
      </c>
      <c r="I52">
        <f t="shared" si="1"/>
        <v>59.274000100000009</v>
      </c>
      <c r="J52">
        <f t="shared" si="3"/>
        <v>59.523621141235004</v>
      </c>
    </row>
    <row r="53" spans="1:10" x14ac:dyDescent="0.2">
      <c r="A53" s="1">
        <v>44694</v>
      </c>
      <c r="B53">
        <v>60</v>
      </c>
      <c r="C53">
        <v>61.009998000000003</v>
      </c>
      <c r="D53">
        <v>55.799999</v>
      </c>
      <c r="E53">
        <v>57.91</v>
      </c>
      <c r="F53">
        <f t="shared" si="4"/>
        <v>59.783333399999997</v>
      </c>
      <c r="G53">
        <f t="shared" si="0"/>
        <v>58.92</v>
      </c>
      <c r="H53">
        <f t="shared" si="2"/>
        <v>59.212000100000012</v>
      </c>
      <c r="I53">
        <f t="shared" si="1"/>
        <v>58.627999900000006</v>
      </c>
      <c r="J53">
        <f t="shared" si="3"/>
        <v>58.878172684741003</v>
      </c>
    </row>
    <row r="54" spans="1:10" x14ac:dyDescent="0.2">
      <c r="A54" s="1">
        <v>44697</v>
      </c>
      <c r="B54">
        <v>57.860000999999997</v>
      </c>
      <c r="C54">
        <v>59.349997999999999</v>
      </c>
      <c r="D54">
        <v>56.610000999999997</v>
      </c>
      <c r="E54">
        <v>58.43</v>
      </c>
      <c r="F54">
        <f t="shared" si="4"/>
        <v>59.729000033333335</v>
      </c>
      <c r="G54">
        <f t="shared" si="0"/>
        <v>58.46</v>
      </c>
      <c r="H54">
        <f t="shared" si="2"/>
        <v>58.488000100000008</v>
      </c>
      <c r="I54">
        <f t="shared" si="1"/>
        <v>58.431999900000001</v>
      </c>
      <c r="J54">
        <f t="shared" si="3"/>
        <v>58.698903610844603</v>
      </c>
    </row>
    <row r="55" spans="1:10" x14ac:dyDescent="0.2">
      <c r="A55" s="1">
        <v>44698</v>
      </c>
      <c r="B55">
        <v>58.509998000000003</v>
      </c>
      <c r="C55">
        <v>59.470001000000003</v>
      </c>
      <c r="D55">
        <v>57.27</v>
      </c>
      <c r="E55">
        <v>58.970001000000003</v>
      </c>
      <c r="F55">
        <f t="shared" si="4"/>
        <v>59.595333400000001</v>
      </c>
      <c r="G55">
        <f t="shared" si="0"/>
        <v>58.67</v>
      </c>
      <c r="H55">
        <f t="shared" si="2"/>
        <v>58.703999700000004</v>
      </c>
      <c r="I55">
        <f t="shared" si="1"/>
        <v>58.636000300000006</v>
      </c>
      <c r="J55">
        <f t="shared" si="3"/>
        <v>58.807342566506762</v>
      </c>
    </row>
    <row r="56" spans="1:10" x14ac:dyDescent="0.2">
      <c r="A56" s="1">
        <v>44699</v>
      </c>
      <c r="B56">
        <v>58.599997999999999</v>
      </c>
      <c r="C56">
        <v>58.700001</v>
      </c>
      <c r="D56">
        <v>56.919998</v>
      </c>
      <c r="E56">
        <v>57.169998</v>
      </c>
      <c r="F56">
        <f t="shared" si="4"/>
        <v>59.356999999999999</v>
      </c>
      <c r="G56">
        <f t="shared" si="0"/>
        <v>58.119999749999998</v>
      </c>
      <c r="H56">
        <f t="shared" si="2"/>
        <v>58.204000000000008</v>
      </c>
      <c r="I56">
        <f t="shared" si="1"/>
        <v>58.035999500000003</v>
      </c>
      <c r="J56">
        <f t="shared" si="3"/>
        <v>58.152404739904057</v>
      </c>
    </row>
    <row r="57" spans="1:10" x14ac:dyDescent="0.2">
      <c r="A57" s="1">
        <v>44700</v>
      </c>
      <c r="B57">
        <v>57.07</v>
      </c>
      <c r="C57">
        <v>57.560001</v>
      </c>
      <c r="D57">
        <v>56.299999</v>
      </c>
      <c r="E57">
        <v>56.459999000000003</v>
      </c>
      <c r="F57">
        <f t="shared" si="4"/>
        <v>59.155666633333333</v>
      </c>
      <c r="G57">
        <f t="shared" si="0"/>
        <v>57.757499500000002</v>
      </c>
      <c r="H57">
        <f t="shared" si="2"/>
        <v>58.142999799999998</v>
      </c>
      <c r="I57">
        <f t="shared" si="1"/>
        <v>57.371999200000005</v>
      </c>
      <c r="J57">
        <f t="shared" si="3"/>
        <v>57.475442443942441</v>
      </c>
    </row>
    <row r="58" spans="1:10" x14ac:dyDescent="0.2">
      <c r="A58" s="1">
        <v>44701</v>
      </c>
      <c r="B58">
        <v>56.900002000000001</v>
      </c>
      <c r="C58">
        <v>58.439999</v>
      </c>
      <c r="D58">
        <v>56.610000999999997</v>
      </c>
      <c r="E58">
        <v>57.77</v>
      </c>
      <c r="F58">
        <f t="shared" si="4"/>
        <v>59.097666699999991</v>
      </c>
      <c r="G58">
        <f t="shared" si="0"/>
        <v>57.592499500000002</v>
      </c>
      <c r="H58">
        <f t="shared" si="2"/>
        <v>57.807999600000002</v>
      </c>
      <c r="I58">
        <f t="shared" si="1"/>
        <v>57.376999400000003</v>
      </c>
      <c r="J58">
        <f t="shared" si="3"/>
        <v>57.593265466365466</v>
      </c>
    </row>
    <row r="59" spans="1:10" x14ac:dyDescent="0.2">
      <c r="A59" s="1">
        <v>44704</v>
      </c>
      <c r="B59">
        <v>58.040000999999997</v>
      </c>
      <c r="C59">
        <v>59.990001999999997</v>
      </c>
      <c r="D59">
        <v>57.07</v>
      </c>
      <c r="E59">
        <v>58.52</v>
      </c>
      <c r="F59">
        <f t="shared" si="4"/>
        <v>59.065000033333327</v>
      </c>
      <c r="G59">
        <f t="shared" si="0"/>
        <v>57.479999250000006</v>
      </c>
      <c r="H59">
        <f t="shared" si="2"/>
        <v>57.211998900000012</v>
      </c>
      <c r="I59">
        <f t="shared" si="1"/>
        <v>57.747999600000007</v>
      </c>
      <c r="J59">
        <f t="shared" si="3"/>
        <v>57.963959279819278</v>
      </c>
    </row>
    <row r="60" spans="1:10" x14ac:dyDescent="0.2">
      <c r="A60" s="1">
        <v>44705</v>
      </c>
      <c r="B60">
        <v>58.009998000000003</v>
      </c>
      <c r="C60">
        <v>59.299999</v>
      </c>
      <c r="D60">
        <v>57.02</v>
      </c>
      <c r="E60">
        <v>58.099997999999999</v>
      </c>
      <c r="F60">
        <f t="shared" si="4"/>
        <v>59.027666599999996</v>
      </c>
      <c r="G60">
        <f t="shared" si="0"/>
        <v>57.71249925</v>
      </c>
      <c r="H60">
        <f t="shared" si="2"/>
        <v>57.428999400000002</v>
      </c>
      <c r="I60">
        <f t="shared" si="1"/>
        <v>57.995999100000006</v>
      </c>
      <c r="J60">
        <f t="shared" si="3"/>
        <v>58.018374767891565</v>
      </c>
    </row>
    <row r="61" spans="1:10" x14ac:dyDescent="0.2">
      <c r="A61" s="1">
        <v>44706</v>
      </c>
      <c r="B61">
        <v>58.099997999999999</v>
      </c>
      <c r="C61">
        <v>60.099997999999999</v>
      </c>
      <c r="D61">
        <v>57.610000999999997</v>
      </c>
      <c r="E61">
        <v>59.540000999999997</v>
      </c>
      <c r="F61">
        <f t="shared" si="4"/>
        <v>59.065333299999999</v>
      </c>
      <c r="G61">
        <f t="shared" si="0"/>
        <v>58.482499749999995</v>
      </c>
      <c r="H61">
        <f t="shared" si="2"/>
        <v>58.23799970000001</v>
      </c>
      <c r="I61">
        <f t="shared" si="1"/>
        <v>58.726999800000009</v>
      </c>
      <c r="J61">
        <f t="shared" si="3"/>
        <v>58.627025260734939</v>
      </c>
    </row>
    <row r="62" spans="1:10" x14ac:dyDescent="0.2">
      <c r="A62" s="1">
        <v>44707</v>
      </c>
      <c r="B62">
        <v>59.110000999999997</v>
      </c>
      <c r="C62">
        <v>61.900002000000001</v>
      </c>
      <c r="D62">
        <v>58.599997999999999</v>
      </c>
      <c r="E62">
        <v>61.16</v>
      </c>
      <c r="F62">
        <f t="shared" si="4"/>
        <v>59.21566656666667</v>
      </c>
      <c r="G62">
        <f t="shared" si="0"/>
        <v>59.329999749999999</v>
      </c>
      <c r="H62">
        <f t="shared" si="2"/>
        <v>58.861999600000004</v>
      </c>
      <c r="I62">
        <f t="shared" si="1"/>
        <v>59.797999900000001</v>
      </c>
      <c r="J62">
        <f t="shared" si="3"/>
        <v>59.640215156440959</v>
      </c>
    </row>
    <row r="63" spans="1:10" x14ac:dyDescent="0.2">
      <c r="A63" s="1">
        <v>44708</v>
      </c>
      <c r="B63">
        <v>61.240001999999997</v>
      </c>
      <c r="C63">
        <v>62.439999</v>
      </c>
      <c r="D63">
        <v>60.57</v>
      </c>
      <c r="E63">
        <v>61.439999</v>
      </c>
      <c r="F63">
        <f t="shared" si="4"/>
        <v>59.33766656666667</v>
      </c>
      <c r="G63">
        <f t="shared" si="0"/>
        <v>60.059999499999996</v>
      </c>
      <c r="H63">
        <f t="shared" si="2"/>
        <v>59.477999400000002</v>
      </c>
      <c r="I63">
        <f t="shared" si="1"/>
        <v>60.641999600000005</v>
      </c>
      <c r="J63">
        <f t="shared" si="3"/>
        <v>60.360128693864574</v>
      </c>
    </row>
    <row r="64" spans="1:10" x14ac:dyDescent="0.2">
      <c r="A64" s="1">
        <v>44711</v>
      </c>
      <c r="B64">
        <v>61</v>
      </c>
      <c r="C64">
        <v>62.27</v>
      </c>
      <c r="D64">
        <v>60</v>
      </c>
      <c r="E64">
        <v>61.09</v>
      </c>
      <c r="F64">
        <f t="shared" si="4"/>
        <v>59.447999933333328</v>
      </c>
      <c r="G64">
        <f t="shared" si="0"/>
        <v>60.807499999999997</v>
      </c>
      <c r="H64">
        <f t="shared" si="2"/>
        <v>60.561000200000009</v>
      </c>
      <c r="I64">
        <f t="shared" si="1"/>
        <v>61.053999800000014</v>
      </c>
      <c r="J64">
        <f t="shared" si="3"/>
        <v>60.652077216318744</v>
      </c>
    </row>
    <row r="65" spans="1:10" x14ac:dyDescent="0.2">
      <c r="A65" s="1">
        <v>44712</v>
      </c>
      <c r="B65">
        <v>61</v>
      </c>
      <c r="C65">
        <v>65.879997000000003</v>
      </c>
      <c r="D65">
        <v>60.279998999999997</v>
      </c>
      <c r="E65">
        <v>64.720000999999996</v>
      </c>
      <c r="F65">
        <f t="shared" si="4"/>
        <v>59.61833326666666</v>
      </c>
      <c r="G65">
        <f t="shared" si="0"/>
        <v>62.102499999999999</v>
      </c>
      <c r="H65">
        <f t="shared" si="2"/>
        <v>61.58599980000001</v>
      </c>
      <c r="I65">
        <f t="shared" si="1"/>
        <v>62.619000200000002</v>
      </c>
      <c r="J65">
        <f t="shared" si="3"/>
        <v>62.27924672979124</v>
      </c>
    </row>
    <row r="66" spans="1:10" x14ac:dyDescent="0.2">
      <c r="A66" s="1">
        <v>44713</v>
      </c>
      <c r="B66">
        <v>64.529999000000004</v>
      </c>
      <c r="C66">
        <v>65.790001000000004</v>
      </c>
      <c r="D66">
        <v>62.049999</v>
      </c>
      <c r="E66">
        <v>64.660004000000001</v>
      </c>
      <c r="F66">
        <f t="shared" si="4"/>
        <v>59.853333366666661</v>
      </c>
      <c r="G66">
        <f t="shared" si="0"/>
        <v>62.977501000000004</v>
      </c>
      <c r="H66">
        <f t="shared" si="2"/>
        <v>62.313000200000005</v>
      </c>
      <c r="I66">
        <f t="shared" si="1"/>
        <v>63.642001800000003</v>
      </c>
      <c r="J66">
        <f t="shared" si="3"/>
        <v>63.231549637874743</v>
      </c>
    </row>
    <row r="67" spans="1:10" x14ac:dyDescent="0.2">
      <c r="A67" s="1">
        <v>44714</v>
      </c>
      <c r="B67">
        <v>64.599997999999999</v>
      </c>
      <c r="C67">
        <v>65.160004000000001</v>
      </c>
      <c r="D67">
        <v>61.779998999999997</v>
      </c>
      <c r="E67">
        <v>62.48</v>
      </c>
      <c r="F67">
        <f t="shared" si="4"/>
        <v>60.074666699999995</v>
      </c>
      <c r="G67">
        <f t="shared" si="0"/>
        <v>63.237501250000001</v>
      </c>
      <c r="H67">
        <f t="shared" si="2"/>
        <v>63.032001099999995</v>
      </c>
      <c r="I67">
        <f t="shared" si="1"/>
        <v>63.4430014</v>
      </c>
      <c r="J67">
        <f t="shared" si="3"/>
        <v>62.930929782724846</v>
      </c>
    </row>
    <row r="68" spans="1:10" x14ac:dyDescent="0.2">
      <c r="A68" s="1">
        <v>44715</v>
      </c>
      <c r="B68">
        <v>62.23</v>
      </c>
      <c r="C68">
        <v>63</v>
      </c>
      <c r="D68">
        <v>61.279998999999997</v>
      </c>
      <c r="E68">
        <v>62.18</v>
      </c>
      <c r="F68">
        <f t="shared" si="4"/>
        <v>60.280999966666663</v>
      </c>
      <c r="G68">
        <f t="shared" si="0"/>
        <v>63.510001249999995</v>
      </c>
      <c r="H68">
        <f t="shared" si="2"/>
        <v>64.000001600000004</v>
      </c>
      <c r="I68">
        <f t="shared" si="1"/>
        <v>63.020000899999999</v>
      </c>
      <c r="J68">
        <f t="shared" si="3"/>
        <v>62.630557869634906</v>
      </c>
    </row>
    <row r="69" spans="1:10" x14ac:dyDescent="0.2">
      <c r="A69" s="1">
        <v>44718</v>
      </c>
      <c r="B69">
        <v>62.099997999999999</v>
      </c>
      <c r="C69">
        <v>64.760002</v>
      </c>
      <c r="D69">
        <v>61.220001000000003</v>
      </c>
      <c r="E69">
        <v>63.439999</v>
      </c>
      <c r="F69">
        <f t="shared" si="4"/>
        <v>60.524333299999995</v>
      </c>
      <c r="G69">
        <f t="shared" si="0"/>
        <v>63.190000750000003</v>
      </c>
      <c r="H69">
        <f t="shared" si="2"/>
        <v>63.388001500000009</v>
      </c>
      <c r="I69">
        <f t="shared" si="1"/>
        <v>62.992000000000004</v>
      </c>
      <c r="J69">
        <f t="shared" si="3"/>
        <v>62.954334321780941</v>
      </c>
    </row>
    <row r="70" spans="1:10" x14ac:dyDescent="0.2">
      <c r="A70" s="1">
        <v>44719</v>
      </c>
      <c r="B70">
        <v>63.189999</v>
      </c>
      <c r="C70">
        <v>64.760002</v>
      </c>
      <c r="D70">
        <v>62.459999000000003</v>
      </c>
      <c r="E70">
        <v>63.57</v>
      </c>
      <c r="F70">
        <f t="shared" si="4"/>
        <v>60.770333333333319</v>
      </c>
      <c r="G70">
        <f t="shared" ref="G70:G133" si="5">AVERAGE(E67:E70)</f>
        <v>62.917499749999998</v>
      </c>
      <c r="H70">
        <f t="shared" si="2"/>
        <v>62.6909998</v>
      </c>
      <c r="I70">
        <f t="shared" ref="I70:I133" si="6">SUMPRODUCT(E67:E70,$L$2:$L$5)</f>
        <v>63.143999700000009</v>
      </c>
      <c r="J70">
        <f t="shared" si="3"/>
        <v>63.200600593068557</v>
      </c>
    </row>
    <row r="71" spans="1:10" x14ac:dyDescent="0.2">
      <c r="A71" s="1">
        <v>44720</v>
      </c>
      <c r="B71">
        <v>63.66</v>
      </c>
      <c r="C71">
        <v>64.190002000000007</v>
      </c>
      <c r="D71">
        <v>61.650002000000001</v>
      </c>
      <c r="E71">
        <v>63.220001000000003</v>
      </c>
      <c r="F71">
        <f t="shared" si="4"/>
        <v>60.82799996666666</v>
      </c>
      <c r="G71">
        <f t="shared" si="5"/>
        <v>63.102499999999999</v>
      </c>
      <c r="H71">
        <f t="shared" ref="H71:H134" si="7">SUMPRODUCT(E68:E71,$K$2:$K$5)</f>
        <v>62.939999799999995</v>
      </c>
      <c r="I71">
        <f t="shared" si="6"/>
        <v>63.265000200000003</v>
      </c>
      <c r="J71">
        <f t="shared" ref="J71:J134" si="8">$L$7*E71+(1-$L$7)*J70</f>
        <v>63.208360755841134</v>
      </c>
    </row>
    <row r="72" spans="1:10" x14ac:dyDescent="0.2">
      <c r="A72" s="1">
        <v>44721</v>
      </c>
      <c r="B72">
        <v>63.220001000000003</v>
      </c>
      <c r="C72">
        <v>65.879997000000003</v>
      </c>
      <c r="D72">
        <v>62.330002</v>
      </c>
      <c r="E72">
        <v>64.519997000000004</v>
      </c>
      <c r="F72">
        <f t="shared" si="4"/>
        <v>60.891666499999999</v>
      </c>
      <c r="G72">
        <f t="shared" si="5"/>
        <v>63.687499250000002</v>
      </c>
      <c r="H72">
        <f t="shared" si="7"/>
        <v>63.542999500000001</v>
      </c>
      <c r="I72">
        <f t="shared" si="6"/>
        <v>63.83199900000001</v>
      </c>
      <c r="J72">
        <f t="shared" si="8"/>
        <v>63.733015253504689</v>
      </c>
    </row>
    <row r="73" spans="1:10" x14ac:dyDescent="0.2">
      <c r="A73" s="1">
        <v>44722</v>
      </c>
      <c r="B73">
        <v>64.440002000000007</v>
      </c>
      <c r="C73">
        <v>64.5</v>
      </c>
      <c r="D73">
        <v>61.209999000000003</v>
      </c>
      <c r="E73">
        <v>61.400002000000001</v>
      </c>
      <c r="F73">
        <f t="shared" si="4"/>
        <v>60.841666499999995</v>
      </c>
      <c r="G73">
        <f t="shared" si="5"/>
        <v>63.177500000000002</v>
      </c>
      <c r="H73">
        <f t="shared" si="7"/>
        <v>63.437999900000008</v>
      </c>
      <c r="I73">
        <f t="shared" si="6"/>
        <v>62.91700010000001</v>
      </c>
      <c r="J73">
        <f t="shared" si="8"/>
        <v>62.799809952102819</v>
      </c>
    </row>
    <row r="74" spans="1:10" x14ac:dyDescent="0.2">
      <c r="A74" s="1">
        <v>44725</v>
      </c>
      <c r="B74">
        <v>61.009998000000003</v>
      </c>
      <c r="C74">
        <v>63.990001999999997</v>
      </c>
      <c r="D74">
        <v>60</v>
      </c>
      <c r="E74">
        <v>62.290000999999997</v>
      </c>
      <c r="F74">
        <f t="shared" si="4"/>
        <v>60.681666666666658</v>
      </c>
      <c r="G74">
        <f t="shared" si="5"/>
        <v>62.857500250000001</v>
      </c>
      <c r="H74">
        <f t="shared" si="7"/>
        <v>63.153000000000006</v>
      </c>
      <c r="I74">
        <f t="shared" si="6"/>
        <v>62.562000500000003</v>
      </c>
      <c r="J74">
        <f t="shared" si="8"/>
        <v>62.595886371261692</v>
      </c>
    </row>
    <row r="75" spans="1:10" x14ac:dyDescent="0.2">
      <c r="A75" s="1">
        <v>44726</v>
      </c>
      <c r="B75">
        <v>62.43</v>
      </c>
      <c r="C75">
        <v>63.099997999999999</v>
      </c>
      <c r="D75">
        <v>60.259998000000003</v>
      </c>
      <c r="E75">
        <v>60.720001000000003</v>
      </c>
      <c r="F75">
        <f t="shared" si="4"/>
        <v>60.637333399999996</v>
      </c>
      <c r="G75">
        <f t="shared" si="5"/>
        <v>62.232500250000001</v>
      </c>
      <c r="H75">
        <f t="shared" si="7"/>
        <v>62.757999699999999</v>
      </c>
      <c r="I75">
        <f t="shared" si="6"/>
        <v>61.707000800000003</v>
      </c>
      <c r="J75">
        <f t="shared" si="8"/>
        <v>61.845532222757015</v>
      </c>
    </row>
    <row r="76" spans="1:10" x14ac:dyDescent="0.2">
      <c r="A76" s="1">
        <v>44727</v>
      </c>
      <c r="B76">
        <v>61.279998999999997</v>
      </c>
      <c r="C76">
        <v>63.689999</v>
      </c>
      <c r="D76">
        <v>60.009998000000003</v>
      </c>
      <c r="E76">
        <v>62.599997999999999</v>
      </c>
      <c r="F76">
        <f t="shared" si="4"/>
        <v>60.747666633333324</v>
      </c>
      <c r="G76">
        <f t="shared" si="5"/>
        <v>61.752500499999996</v>
      </c>
      <c r="H76">
        <f t="shared" si="7"/>
        <v>61.651001100000009</v>
      </c>
      <c r="I76">
        <f t="shared" si="6"/>
        <v>61.853999900000005</v>
      </c>
      <c r="J76">
        <f t="shared" si="8"/>
        <v>62.147318533654214</v>
      </c>
    </row>
    <row r="77" spans="1:10" x14ac:dyDescent="0.2">
      <c r="A77" s="1">
        <v>44728</v>
      </c>
      <c r="B77">
        <v>62.32</v>
      </c>
      <c r="C77">
        <v>63.5</v>
      </c>
      <c r="D77">
        <v>61.23</v>
      </c>
      <c r="E77">
        <v>62.630001</v>
      </c>
      <c r="F77">
        <f t="shared" si="4"/>
        <v>60.811666700000004</v>
      </c>
      <c r="G77">
        <f t="shared" si="5"/>
        <v>62.060000250000002</v>
      </c>
      <c r="H77">
        <f t="shared" si="7"/>
        <v>61.915000400000004</v>
      </c>
      <c r="I77">
        <f t="shared" si="6"/>
        <v>62.205000100000007</v>
      </c>
      <c r="J77">
        <f t="shared" si="8"/>
        <v>62.340391520192526</v>
      </c>
    </row>
    <row r="78" spans="1:10" x14ac:dyDescent="0.2">
      <c r="A78" s="1">
        <v>44729</v>
      </c>
      <c r="B78">
        <v>63.330002</v>
      </c>
      <c r="C78">
        <v>63.330002</v>
      </c>
      <c r="D78">
        <v>61.259998000000003</v>
      </c>
      <c r="E78">
        <v>62.509998000000003</v>
      </c>
      <c r="F78">
        <f t="shared" si="4"/>
        <v>60.853333366666668</v>
      </c>
      <c r="G78">
        <f t="shared" si="5"/>
        <v>62.114999499999996</v>
      </c>
      <c r="H78">
        <f t="shared" si="7"/>
        <v>61.844999800000004</v>
      </c>
      <c r="I78">
        <f t="shared" si="6"/>
        <v>62.384999200000003</v>
      </c>
      <c r="J78">
        <f t="shared" si="8"/>
        <v>62.408234112115515</v>
      </c>
    </row>
    <row r="79" spans="1:10" x14ac:dyDescent="0.2">
      <c r="A79" s="1">
        <v>44732</v>
      </c>
      <c r="B79">
        <v>62.889999000000003</v>
      </c>
      <c r="C79">
        <v>64.489998</v>
      </c>
      <c r="D79">
        <v>62.720001000000003</v>
      </c>
      <c r="E79">
        <v>64.110000999999997</v>
      </c>
      <c r="F79">
        <f t="shared" si="4"/>
        <v>60.979333333333329</v>
      </c>
      <c r="G79">
        <f t="shared" si="5"/>
        <v>62.962499499999993</v>
      </c>
      <c r="H79">
        <f t="shared" si="7"/>
        <v>62.741999200000002</v>
      </c>
      <c r="I79">
        <f t="shared" si="6"/>
        <v>63.182999800000005</v>
      </c>
      <c r="J79">
        <f t="shared" si="8"/>
        <v>63.088940867269301</v>
      </c>
    </row>
    <row r="80" spans="1:10" x14ac:dyDescent="0.2">
      <c r="A80" s="1">
        <v>44733</v>
      </c>
      <c r="B80">
        <v>63.959999000000003</v>
      </c>
      <c r="C80">
        <v>64.900002000000001</v>
      </c>
      <c r="D80">
        <v>61.400002000000001</v>
      </c>
      <c r="E80">
        <v>61.700001</v>
      </c>
      <c r="F80">
        <f t="shared" si="4"/>
        <v>61.02700003333333</v>
      </c>
      <c r="G80">
        <f t="shared" si="5"/>
        <v>62.737500249999997</v>
      </c>
      <c r="H80">
        <f t="shared" si="7"/>
        <v>62.797000100000005</v>
      </c>
      <c r="I80">
        <f t="shared" si="6"/>
        <v>62.678000400000002</v>
      </c>
      <c r="J80">
        <f t="shared" si="8"/>
        <v>62.533364920361578</v>
      </c>
    </row>
    <row r="81" spans="1:10" x14ac:dyDescent="0.2">
      <c r="A81" s="1">
        <v>44734</v>
      </c>
      <c r="B81">
        <v>61.369999</v>
      </c>
      <c r="C81">
        <v>64.040001000000004</v>
      </c>
      <c r="D81">
        <v>60.799999</v>
      </c>
      <c r="E81">
        <v>63.490001999999997</v>
      </c>
      <c r="F81">
        <f t="shared" si="4"/>
        <v>61.205666733333324</v>
      </c>
      <c r="G81">
        <f t="shared" si="5"/>
        <v>62.952500499999999</v>
      </c>
      <c r="H81">
        <f t="shared" si="7"/>
        <v>62.925999900000001</v>
      </c>
      <c r="I81">
        <f t="shared" si="6"/>
        <v>62.979001100000005</v>
      </c>
      <c r="J81">
        <f t="shared" si="8"/>
        <v>62.91601975221694</v>
      </c>
    </row>
    <row r="82" spans="1:10" x14ac:dyDescent="0.2">
      <c r="A82" s="1">
        <v>44735</v>
      </c>
      <c r="B82">
        <v>63.57</v>
      </c>
      <c r="C82">
        <v>64.269997000000004</v>
      </c>
      <c r="D82">
        <v>62.599997999999999</v>
      </c>
      <c r="E82">
        <v>63.48</v>
      </c>
      <c r="F82">
        <f t="shared" si="4"/>
        <v>61.342666766666653</v>
      </c>
      <c r="G82">
        <f t="shared" si="5"/>
        <v>63.195000999999998</v>
      </c>
      <c r="H82">
        <f t="shared" si="7"/>
        <v>63.200001099999994</v>
      </c>
      <c r="I82">
        <f t="shared" si="6"/>
        <v>63.190000900000001</v>
      </c>
      <c r="J82">
        <f t="shared" si="8"/>
        <v>63.141611851330168</v>
      </c>
    </row>
    <row r="83" spans="1:10" x14ac:dyDescent="0.2">
      <c r="A83" s="1">
        <v>44736</v>
      </c>
      <c r="B83">
        <v>63.5</v>
      </c>
      <c r="C83">
        <v>64.949996999999996</v>
      </c>
      <c r="D83">
        <v>62.73</v>
      </c>
      <c r="E83">
        <v>63.810001</v>
      </c>
      <c r="F83">
        <f t="shared" si="4"/>
        <v>61.539333466666662</v>
      </c>
      <c r="G83">
        <f t="shared" si="5"/>
        <v>63.120000999999995</v>
      </c>
      <c r="H83">
        <f t="shared" si="7"/>
        <v>62.804001100000001</v>
      </c>
      <c r="I83">
        <f t="shared" si="6"/>
        <v>63.43600090000001</v>
      </c>
      <c r="J83">
        <f t="shared" si="8"/>
        <v>63.408967510798107</v>
      </c>
    </row>
    <row r="84" spans="1:10" x14ac:dyDescent="0.2">
      <c r="A84" s="1">
        <v>44739</v>
      </c>
      <c r="B84">
        <v>63.689999</v>
      </c>
      <c r="C84">
        <v>66.349997999999999</v>
      </c>
      <c r="D84">
        <v>63.689999</v>
      </c>
      <c r="E84">
        <v>65.959998999999996</v>
      </c>
      <c r="F84">
        <f t="shared" si="4"/>
        <v>61.790333433333338</v>
      </c>
      <c r="G84">
        <f t="shared" si="5"/>
        <v>64.185000500000001</v>
      </c>
      <c r="H84">
        <f t="shared" si="7"/>
        <v>63.798000900000005</v>
      </c>
      <c r="I84">
        <f t="shared" si="6"/>
        <v>64.572000099999997</v>
      </c>
      <c r="J84">
        <f t="shared" si="8"/>
        <v>64.42938010647886</v>
      </c>
    </row>
    <row r="85" spans="1:10" x14ac:dyDescent="0.2">
      <c r="A85" s="1">
        <v>44740</v>
      </c>
      <c r="B85">
        <v>66.150002000000001</v>
      </c>
      <c r="C85">
        <v>66.739998</v>
      </c>
      <c r="D85">
        <v>65.290001000000004</v>
      </c>
      <c r="E85">
        <v>66</v>
      </c>
      <c r="F85">
        <f t="shared" si="4"/>
        <v>62.024666733333333</v>
      </c>
      <c r="G85">
        <f t="shared" si="5"/>
        <v>64.8125</v>
      </c>
      <c r="H85">
        <f t="shared" si="7"/>
        <v>64.327000100000006</v>
      </c>
      <c r="I85">
        <f t="shared" si="6"/>
        <v>65.297999900000008</v>
      </c>
      <c r="J85">
        <f t="shared" si="8"/>
        <v>65.057628063887321</v>
      </c>
    </row>
    <row r="86" spans="1:10" x14ac:dyDescent="0.2">
      <c r="A86" s="1">
        <v>44741</v>
      </c>
      <c r="B86">
        <v>65.989998</v>
      </c>
      <c r="C86">
        <v>67.120002999999997</v>
      </c>
      <c r="D86">
        <v>64.430000000000007</v>
      </c>
      <c r="E86">
        <v>65.849997999999999</v>
      </c>
      <c r="F86">
        <f t="shared" si="4"/>
        <v>62.314000066666651</v>
      </c>
      <c r="G86">
        <f t="shared" si="5"/>
        <v>65.404999500000002</v>
      </c>
      <c r="H86">
        <f t="shared" si="7"/>
        <v>65.096999900000014</v>
      </c>
      <c r="I86">
        <f t="shared" si="6"/>
        <v>65.712999100000005</v>
      </c>
      <c r="J86">
        <f t="shared" si="8"/>
        <v>65.374576038332393</v>
      </c>
    </row>
    <row r="87" spans="1:10" x14ac:dyDescent="0.2">
      <c r="A87" s="1">
        <v>44742</v>
      </c>
      <c r="B87">
        <v>65.650002000000001</v>
      </c>
      <c r="C87">
        <v>66.690002000000007</v>
      </c>
      <c r="D87">
        <v>63.869999</v>
      </c>
      <c r="E87">
        <v>65.370002999999997</v>
      </c>
      <c r="F87">
        <f t="shared" si="4"/>
        <v>62.611000199999992</v>
      </c>
      <c r="G87">
        <f t="shared" si="5"/>
        <v>65.794999999999987</v>
      </c>
      <c r="H87">
        <f t="shared" si="7"/>
        <v>65.890999500000007</v>
      </c>
      <c r="I87">
        <f t="shared" si="6"/>
        <v>65.699000499999997</v>
      </c>
      <c r="J87">
        <f t="shared" si="8"/>
        <v>65.372746822999432</v>
      </c>
    </row>
    <row r="88" spans="1:10" x14ac:dyDescent="0.2">
      <c r="A88" s="1">
        <v>44743</v>
      </c>
      <c r="B88">
        <v>65.239998</v>
      </c>
      <c r="C88">
        <v>67.370002999999997</v>
      </c>
      <c r="D88">
        <v>65.239998</v>
      </c>
      <c r="E88">
        <v>65.809997999999993</v>
      </c>
      <c r="F88">
        <f t="shared" si="4"/>
        <v>62.879000133333321</v>
      </c>
      <c r="G88">
        <f t="shared" si="5"/>
        <v>65.757499749999994</v>
      </c>
      <c r="H88">
        <f t="shared" si="7"/>
        <v>65.8099998</v>
      </c>
      <c r="I88">
        <f t="shared" si="6"/>
        <v>65.704999700000002</v>
      </c>
      <c r="J88">
        <f t="shared" si="8"/>
        <v>65.547647293799656</v>
      </c>
    </row>
    <row r="89" spans="1:10" x14ac:dyDescent="0.2">
      <c r="A89" s="1">
        <v>44746</v>
      </c>
      <c r="B89">
        <v>65.589995999999999</v>
      </c>
      <c r="C89">
        <v>70.809997999999993</v>
      </c>
      <c r="D89">
        <v>65.589995999999999</v>
      </c>
      <c r="E89">
        <v>69.569999999999993</v>
      </c>
      <c r="F89">
        <f t="shared" si="4"/>
        <v>63.247333466666653</v>
      </c>
      <c r="G89">
        <f t="shared" si="5"/>
        <v>66.649999749999992</v>
      </c>
      <c r="H89">
        <f t="shared" si="7"/>
        <v>66.069999699999997</v>
      </c>
      <c r="I89">
        <f t="shared" si="6"/>
        <v>67.229999800000002</v>
      </c>
      <c r="J89">
        <f t="shared" si="8"/>
        <v>67.156588376279785</v>
      </c>
    </row>
    <row r="90" spans="1:10" x14ac:dyDescent="0.2">
      <c r="A90" s="1">
        <v>44747</v>
      </c>
      <c r="B90">
        <v>68.760002</v>
      </c>
      <c r="C90">
        <v>68.980002999999996</v>
      </c>
      <c r="D90">
        <v>64.400002000000001</v>
      </c>
      <c r="E90">
        <v>67.180000000000007</v>
      </c>
      <c r="F90">
        <f t="shared" si="4"/>
        <v>63.550000199999999</v>
      </c>
      <c r="G90">
        <f t="shared" si="5"/>
        <v>66.982500250000001</v>
      </c>
      <c r="H90">
        <f t="shared" si="7"/>
        <v>66.523000600000003</v>
      </c>
      <c r="I90">
        <f t="shared" si="6"/>
        <v>67.441999899999999</v>
      </c>
      <c r="J90">
        <f t="shared" si="8"/>
        <v>67.165953025767877</v>
      </c>
    </row>
    <row r="91" spans="1:10" x14ac:dyDescent="0.2">
      <c r="A91" s="1">
        <v>44748</v>
      </c>
      <c r="B91">
        <v>67.440002000000007</v>
      </c>
      <c r="C91">
        <v>70.040001000000004</v>
      </c>
      <c r="D91">
        <v>67.169998000000007</v>
      </c>
      <c r="E91">
        <v>69.910004000000001</v>
      </c>
      <c r="F91">
        <f t="shared" si="4"/>
        <v>63.895666966666667</v>
      </c>
      <c r="G91">
        <f t="shared" si="5"/>
        <v>68.117500500000006</v>
      </c>
      <c r="H91">
        <f t="shared" si="7"/>
        <v>67.621999599999995</v>
      </c>
      <c r="I91">
        <f t="shared" si="6"/>
        <v>68.613001400000002</v>
      </c>
      <c r="J91">
        <f t="shared" si="8"/>
        <v>68.263573415460726</v>
      </c>
    </row>
    <row r="92" spans="1:10" x14ac:dyDescent="0.2">
      <c r="A92" s="1">
        <v>44749</v>
      </c>
      <c r="B92">
        <v>69.910004000000001</v>
      </c>
      <c r="C92">
        <v>71.120002999999997</v>
      </c>
      <c r="D92">
        <v>69.580001999999993</v>
      </c>
      <c r="E92">
        <v>69.680000000000007</v>
      </c>
      <c r="F92">
        <f t="shared" si="4"/>
        <v>64.179666966666659</v>
      </c>
      <c r="G92">
        <f t="shared" si="5"/>
        <v>69.085001000000005</v>
      </c>
      <c r="H92">
        <f t="shared" si="7"/>
        <v>68.932000799999997</v>
      </c>
      <c r="I92">
        <f t="shared" si="6"/>
        <v>69.238001199999999</v>
      </c>
      <c r="J92">
        <f t="shared" si="8"/>
        <v>68.830144049276441</v>
      </c>
    </row>
    <row r="93" spans="1:10" x14ac:dyDescent="0.2">
      <c r="A93" s="1">
        <v>44750</v>
      </c>
      <c r="B93">
        <v>69.419998000000007</v>
      </c>
      <c r="C93">
        <v>71.239998</v>
      </c>
      <c r="D93">
        <v>69.019997000000004</v>
      </c>
      <c r="E93">
        <v>70.599997999999999</v>
      </c>
      <c r="F93">
        <f t="shared" si="4"/>
        <v>64.48500026666666</v>
      </c>
      <c r="G93">
        <f t="shared" si="5"/>
        <v>69.3425005</v>
      </c>
      <c r="H93">
        <f t="shared" si="7"/>
        <v>68.841001000000006</v>
      </c>
      <c r="I93">
        <f t="shared" si="6"/>
        <v>69.844000000000008</v>
      </c>
      <c r="J93">
        <f t="shared" si="8"/>
        <v>69.53808562956587</v>
      </c>
    </row>
    <row r="94" spans="1:10" x14ac:dyDescent="0.2">
      <c r="A94" s="1">
        <v>44753</v>
      </c>
      <c r="B94">
        <v>70.569999999999993</v>
      </c>
      <c r="C94">
        <v>72</v>
      </c>
      <c r="D94">
        <v>69.5</v>
      </c>
      <c r="E94">
        <v>70.760002</v>
      </c>
      <c r="F94">
        <f t="shared" si="4"/>
        <v>64.807333666666665</v>
      </c>
      <c r="G94">
        <f t="shared" si="5"/>
        <v>70.237501000000009</v>
      </c>
      <c r="H94">
        <f t="shared" si="7"/>
        <v>70.064001400000009</v>
      </c>
      <c r="I94">
        <f t="shared" si="6"/>
        <v>70.411000600000008</v>
      </c>
      <c r="J94">
        <f t="shared" si="8"/>
        <v>70.026852177739528</v>
      </c>
    </row>
    <row r="95" spans="1:10" x14ac:dyDescent="0.2">
      <c r="A95" s="1">
        <v>44754</v>
      </c>
      <c r="B95">
        <v>70.400002000000001</v>
      </c>
      <c r="C95">
        <v>71.080001999999993</v>
      </c>
      <c r="D95">
        <v>68.059997999999993</v>
      </c>
      <c r="E95">
        <v>68.290001000000004</v>
      </c>
      <c r="F95">
        <f t="shared" si="4"/>
        <v>64.926333666666665</v>
      </c>
      <c r="G95">
        <f t="shared" si="5"/>
        <v>69.83250025000001</v>
      </c>
      <c r="H95">
        <f t="shared" si="7"/>
        <v>70.032999900000007</v>
      </c>
      <c r="I95">
        <f t="shared" si="6"/>
        <v>69.632000600000012</v>
      </c>
      <c r="J95">
        <f t="shared" si="8"/>
        <v>69.332111706643715</v>
      </c>
    </row>
    <row r="96" spans="1:10" x14ac:dyDescent="0.2">
      <c r="A96" s="1">
        <v>44755</v>
      </c>
      <c r="B96">
        <v>68.139999000000003</v>
      </c>
      <c r="C96">
        <v>69.440002000000007</v>
      </c>
      <c r="D96">
        <v>67.580001999999993</v>
      </c>
      <c r="E96">
        <v>69.050003000000004</v>
      </c>
      <c r="F96">
        <f t="shared" ref="F96:F159" si="9">AVERAGE(E67:E96)</f>
        <v>65.07266696666666</v>
      </c>
      <c r="G96">
        <f t="shared" si="5"/>
        <v>69.675001000000009</v>
      </c>
      <c r="H96">
        <f t="shared" si="7"/>
        <v>70.031000300000002</v>
      </c>
      <c r="I96">
        <f t="shared" si="6"/>
        <v>69.319001700000001</v>
      </c>
      <c r="J96">
        <f t="shared" si="8"/>
        <v>69.219268223986234</v>
      </c>
    </row>
    <row r="97" spans="1:10" x14ac:dyDescent="0.2">
      <c r="A97" s="1">
        <v>44756</v>
      </c>
      <c r="B97">
        <v>69.099997999999999</v>
      </c>
      <c r="C97">
        <v>70.300003000000004</v>
      </c>
      <c r="D97">
        <v>67.699996999999996</v>
      </c>
      <c r="E97">
        <v>70.110000999999997</v>
      </c>
      <c r="F97">
        <f t="shared" si="9"/>
        <v>65.327000333333345</v>
      </c>
      <c r="G97">
        <f t="shared" si="5"/>
        <v>69.552501750000005</v>
      </c>
      <c r="H97">
        <f t="shared" si="7"/>
        <v>69.612001800000002</v>
      </c>
      <c r="I97">
        <f t="shared" si="6"/>
        <v>69.493001700000008</v>
      </c>
      <c r="J97">
        <f t="shared" si="8"/>
        <v>69.57556133439175</v>
      </c>
    </row>
    <row r="98" spans="1:10" x14ac:dyDescent="0.2">
      <c r="A98" s="1">
        <v>44757</v>
      </c>
      <c r="B98">
        <v>70.019997000000004</v>
      </c>
      <c r="C98">
        <v>72.819999999999993</v>
      </c>
      <c r="D98">
        <v>69.540001000000004</v>
      </c>
      <c r="E98">
        <v>72.599997999999999</v>
      </c>
      <c r="F98">
        <f t="shared" si="9"/>
        <v>65.674333599999997</v>
      </c>
      <c r="G98">
        <f t="shared" si="5"/>
        <v>70.012500750000015</v>
      </c>
      <c r="H98">
        <f t="shared" si="7"/>
        <v>69.31300130000001</v>
      </c>
      <c r="I98">
        <f t="shared" si="6"/>
        <v>70.712000200000006</v>
      </c>
      <c r="J98">
        <f t="shared" si="8"/>
        <v>70.785336000635056</v>
      </c>
    </row>
    <row r="99" spans="1:10" x14ac:dyDescent="0.2">
      <c r="A99" s="1">
        <v>44760</v>
      </c>
      <c r="B99">
        <v>72.290001000000004</v>
      </c>
      <c r="C99">
        <v>73.75</v>
      </c>
      <c r="D99">
        <v>70.550003000000004</v>
      </c>
      <c r="E99">
        <v>71.5</v>
      </c>
      <c r="F99">
        <f t="shared" si="9"/>
        <v>65.943000300000008</v>
      </c>
      <c r="G99">
        <f t="shared" si="5"/>
        <v>70.815000499999996</v>
      </c>
      <c r="H99">
        <f t="shared" si="7"/>
        <v>70.323001099999999</v>
      </c>
      <c r="I99">
        <f t="shared" si="6"/>
        <v>71.306999900000008</v>
      </c>
      <c r="J99">
        <f t="shared" si="8"/>
        <v>71.071201600381031</v>
      </c>
    </row>
    <row r="100" spans="1:10" x14ac:dyDescent="0.2">
      <c r="A100" s="1">
        <v>44761</v>
      </c>
      <c r="B100">
        <v>71.800003000000004</v>
      </c>
      <c r="C100">
        <v>72.970000999999996</v>
      </c>
      <c r="D100">
        <v>70.980002999999996</v>
      </c>
      <c r="E100">
        <v>72.069999999999993</v>
      </c>
      <c r="F100">
        <f t="shared" si="9"/>
        <v>66.22633363333334</v>
      </c>
      <c r="G100">
        <f t="shared" si="5"/>
        <v>71.569999749999994</v>
      </c>
      <c r="H100">
        <f t="shared" si="7"/>
        <v>71.330999800000001</v>
      </c>
      <c r="I100">
        <f t="shared" si="6"/>
        <v>71.808999700000001</v>
      </c>
      <c r="J100">
        <f t="shared" si="8"/>
        <v>71.470720960228618</v>
      </c>
    </row>
    <row r="101" spans="1:10" x14ac:dyDescent="0.2">
      <c r="A101" s="1">
        <v>44762</v>
      </c>
      <c r="B101">
        <v>71.75</v>
      </c>
      <c r="C101">
        <v>72.900002000000001</v>
      </c>
      <c r="D101">
        <v>71.610000999999997</v>
      </c>
      <c r="E101">
        <v>72.410004000000001</v>
      </c>
      <c r="F101">
        <f t="shared" si="9"/>
        <v>66.532667066666676</v>
      </c>
      <c r="G101">
        <f t="shared" si="5"/>
        <v>72.145000499999995</v>
      </c>
      <c r="H101">
        <f t="shared" si="7"/>
        <v>72.144999600000006</v>
      </c>
      <c r="I101">
        <f t="shared" si="6"/>
        <v>72.145001400000012</v>
      </c>
      <c r="J101">
        <f t="shared" si="8"/>
        <v>71.846434176137166</v>
      </c>
    </row>
    <row r="102" spans="1:10" x14ac:dyDescent="0.2">
      <c r="A102" s="1">
        <v>44763</v>
      </c>
      <c r="B102">
        <v>72.669998000000007</v>
      </c>
      <c r="C102">
        <v>73.260002</v>
      </c>
      <c r="D102">
        <v>71.309997999999993</v>
      </c>
      <c r="E102">
        <v>73</v>
      </c>
      <c r="F102">
        <f t="shared" si="9"/>
        <v>66.815333833333341</v>
      </c>
      <c r="G102">
        <f t="shared" si="5"/>
        <v>72.245001000000002</v>
      </c>
      <c r="H102">
        <f t="shared" si="7"/>
        <v>72.003000800000009</v>
      </c>
      <c r="I102">
        <f t="shared" si="6"/>
        <v>72.487001200000009</v>
      </c>
      <c r="J102">
        <f t="shared" si="8"/>
        <v>72.307860505682299</v>
      </c>
    </row>
    <row r="103" spans="1:10" x14ac:dyDescent="0.2">
      <c r="A103" s="1">
        <v>44764</v>
      </c>
      <c r="B103">
        <v>73.139999000000003</v>
      </c>
      <c r="C103">
        <v>74.699996999999996</v>
      </c>
      <c r="D103">
        <v>72.220000999999996</v>
      </c>
      <c r="E103">
        <v>74.440002000000007</v>
      </c>
      <c r="F103">
        <f t="shared" si="9"/>
        <v>67.250000499999999</v>
      </c>
      <c r="G103">
        <f t="shared" si="5"/>
        <v>72.9800015</v>
      </c>
      <c r="H103">
        <f t="shared" si="7"/>
        <v>72.595001400000001</v>
      </c>
      <c r="I103">
        <f t="shared" si="6"/>
        <v>73.365001600000014</v>
      </c>
      <c r="J103">
        <f t="shared" si="8"/>
        <v>73.160717103409382</v>
      </c>
    </row>
    <row r="104" spans="1:10" x14ac:dyDescent="0.2">
      <c r="A104" s="1">
        <v>44767</v>
      </c>
      <c r="B104">
        <v>74.040001000000004</v>
      </c>
      <c r="C104">
        <v>75.449996999999996</v>
      </c>
      <c r="D104">
        <v>73.360000999999997</v>
      </c>
      <c r="E104">
        <v>74.239998</v>
      </c>
      <c r="F104">
        <f t="shared" si="9"/>
        <v>67.648333733333345</v>
      </c>
      <c r="G104">
        <f t="shared" si="5"/>
        <v>73.522501000000005</v>
      </c>
      <c r="H104">
        <f t="shared" si="7"/>
        <v>73.176001800000009</v>
      </c>
      <c r="I104">
        <f t="shared" si="6"/>
        <v>73.869000200000016</v>
      </c>
      <c r="J104">
        <f t="shared" si="8"/>
        <v>73.592429462045629</v>
      </c>
    </row>
    <row r="105" spans="1:10" x14ac:dyDescent="0.2">
      <c r="A105" s="1">
        <v>44768</v>
      </c>
      <c r="B105">
        <v>74.529999000000004</v>
      </c>
      <c r="C105">
        <v>74.699996999999996</v>
      </c>
      <c r="D105">
        <v>72.739998</v>
      </c>
      <c r="E105">
        <v>74.069999999999993</v>
      </c>
      <c r="F105">
        <f t="shared" si="9"/>
        <v>68.093333700000002</v>
      </c>
      <c r="G105">
        <f t="shared" si="5"/>
        <v>73.9375</v>
      </c>
      <c r="H105">
        <f t="shared" si="7"/>
        <v>73.787000200000008</v>
      </c>
      <c r="I105">
        <f t="shared" si="6"/>
        <v>74.087999800000006</v>
      </c>
      <c r="J105">
        <f t="shared" si="8"/>
        <v>73.783457677227375</v>
      </c>
    </row>
    <row r="106" spans="1:10" x14ac:dyDescent="0.2">
      <c r="A106" s="1">
        <v>44769</v>
      </c>
      <c r="B106">
        <v>74.690002000000007</v>
      </c>
      <c r="C106">
        <v>74.690002000000007</v>
      </c>
      <c r="D106">
        <v>71.819999999999993</v>
      </c>
      <c r="E106">
        <v>73.069999999999993</v>
      </c>
      <c r="F106">
        <f t="shared" si="9"/>
        <v>68.442333766666664</v>
      </c>
      <c r="G106">
        <f t="shared" si="5"/>
        <v>73.954999999999998</v>
      </c>
      <c r="H106">
        <f t="shared" si="7"/>
        <v>74.169000200000013</v>
      </c>
      <c r="I106">
        <f t="shared" si="6"/>
        <v>73.740999799999997</v>
      </c>
      <c r="J106">
        <f t="shared" si="8"/>
        <v>73.498074606336417</v>
      </c>
    </row>
    <row r="107" spans="1:10" x14ac:dyDescent="0.2">
      <c r="A107" s="1">
        <v>44770</v>
      </c>
      <c r="B107">
        <v>73.120002999999997</v>
      </c>
      <c r="C107">
        <v>75.370002999999997</v>
      </c>
      <c r="D107">
        <v>72.129997000000003</v>
      </c>
      <c r="E107">
        <v>75.080001999999993</v>
      </c>
      <c r="F107">
        <f t="shared" si="9"/>
        <v>68.857333800000006</v>
      </c>
      <c r="G107">
        <f t="shared" si="5"/>
        <v>74.114999999999995</v>
      </c>
      <c r="H107">
        <f t="shared" si="7"/>
        <v>74.038999400000009</v>
      </c>
      <c r="I107">
        <f t="shared" si="6"/>
        <v>74.191000599999995</v>
      </c>
      <c r="J107">
        <f t="shared" si="8"/>
        <v>74.130845563801842</v>
      </c>
    </row>
    <row r="108" spans="1:10" x14ac:dyDescent="0.2">
      <c r="A108" s="1">
        <v>44771</v>
      </c>
      <c r="B108">
        <v>74.550003000000004</v>
      </c>
      <c r="C108">
        <v>74.849997999999999</v>
      </c>
      <c r="D108">
        <v>71.699996999999996</v>
      </c>
      <c r="E108">
        <v>72.040001000000004</v>
      </c>
      <c r="F108">
        <f t="shared" si="9"/>
        <v>69.175000566666668</v>
      </c>
      <c r="G108">
        <f t="shared" si="5"/>
        <v>73.565000749999996</v>
      </c>
      <c r="H108">
        <f t="shared" si="7"/>
        <v>73.769000500000004</v>
      </c>
      <c r="I108">
        <f t="shared" si="6"/>
        <v>73.361001000000002</v>
      </c>
      <c r="J108">
        <f t="shared" si="8"/>
        <v>73.294507738281112</v>
      </c>
    </row>
    <row r="109" spans="1:10" x14ac:dyDescent="0.2">
      <c r="A109" s="1">
        <v>44774</v>
      </c>
      <c r="B109">
        <v>72.199996999999996</v>
      </c>
      <c r="C109">
        <v>73.199996999999996</v>
      </c>
      <c r="D109">
        <v>68.5</v>
      </c>
      <c r="E109">
        <v>71.150002000000001</v>
      </c>
      <c r="F109">
        <f t="shared" si="9"/>
        <v>69.409667266666659</v>
      </c>
      <c r="G109">
        <f t="shared" si="5"/>
        <v>72.835001250000005</v>
      </c>
      <c r="H109">
        <f t="shared" si="7"/>
        <v>73.275001000000003</v>
      </c>
      <c r="I109">
        <f t="shared" si="6"/>
        <v>72.395001500000006</v>
      </c>
      <c r="J109">
        <f t="shared" si="8"/>
        <v>72.436705442968673</v>
      </c>
    </row>
    <row r="110" spans="1:10" x14ac:dyDescent="0.2">
      <c r="A110" s="1">
        <v>44775</v>
      </c>
      <c r="B110">
        <v>71.269997000000004</v>
      </c>
      <c r="C110">
        <v>72.879997000000003</v>
      </c>
      <c r="D110">
        <v>71.040001000000004</v>
      </c>
      <c r="E110">
        <v>72.290001000000004</v>
      </c>
      <c r="F110">
        <f t="shared" si="9"/>
        <v>69.762667266666668</v>
      </c>
      <c r="G110">
        <f t="shared" si="5"/>
        <v>72.640001499999997</v>
      </c>
      <c r="H110">
        <f t="shared" si="7"/>
        <v>73.103001599999999</v>
      </c>
      <c r="I110">
        <f t="shared" si="6"/>
        <v>72.177001400000009</v>
      </c>
      <c r="J110">
        <f t="shared" si="8"/>
        <v>72.3780236657812</v>
      </c>
    </row>
    <row r="111" spans="1:10" x14ac:dyDescent="0.2">
      <c r="A111" s="1">
        <v>44776</v>
      </c>
      <c r="B111">
        <v>72.199996999999996</v>
      </c>
      <c r="C111">
        <v>72.669998000000007</v>
      </c>
      <c r="D111">
        <v>70.360000999999997</v>
      </c>
      <c r="E111">
        <v>71.580001999999993</v>
      </c>
      <c r="F111">
        <f t="shared" si="9"/>
        <v>70.032333933333334</v>
      </c>
      <c r="G111">
        <f t="shared" si="5"/>
        <v>71.765001499999997</v>
      </c>
      <c r="H111">
        <f t="shared" si="7"/>
        <v>71.777001400000017</v>
      </c>
      <c r="I111">
        <f t="shared" si="6"/>
        <v>71.753001600000005</v>
      </c>
      <c r="J111">
        <f t="shared" si="8"/>
        <v>72.058814999468723</v>
      </c>
    </row>
    <row r="112" spans="1:10" x14ac:dyDescent="0.2">
      <c r="A112" s="1">
        <v>44777</v>
      </c>
      <c r="B112">
        <v>71.610000999999997</v>
      </c>
      <c r="C112">
        <v>73</v>
      </c>
      <c r="D112">
        <v>69.800003000000004</v>
      </c>
      <c r="E112">
        <v>70.849997999999999</v>
      </c>
      <c r="F112">
        <f t="shared" si="9"/>
        <v>70.278000533333341</v>
      </c>
      <c r="G112">
        <f t="shared" si="5"/>
        <v>71.467500749999999</v>
      </c>
      <c r="H112">
        <f t="shared" si="7"/>
        <v>71.548001300000024</v>
      </c>
      <c r="I112">
        <f t="shared" si="6"/>
        <v>71.387000200000003</v>
      </c>
      <c r="J112">
        <f t="shared" si="8"/>
        <v>71.575288199681239</v>
      </c>
    </row>
    <row r="113" spans="1:10" x14ac:dyDescent="0.2">
      <c r="A113" s="1">
        <v>44778</v>
      </c>
      <c r="B113">
        <v>70.5</v>
      </c>
      <c r="C113">
        <v>70.849997999999999</v>
      </c>
      <c r="D113">
        <v>69.120002999999997</v>
      </c>
      <c r="E113">
        <v>70.160004000000001</v>
      </c>
      <c r="F113">
        <f t="shared" si="9"/>
        <v>70.489667299999994</v>
      </c>
      <c r="G113">
        <f t="shared" si="5"/>
        <v>71.220001249999996</v>
      </c>
      <c r="H113">
        <f t="shared" si="7"/>
        <v>71.576000999999991</v>
      </c>
      <c r="I113">
        <f t="shared" si="6"/>
        <v>70.864001500000001</v>
      </c>
      <c r="J113">
        <f t="shared" si="8"/>
        <v>71.009174519808738</v>
      </c>
    </row>
    <row r="114" spans="1:10" x14ac:dyDescent="0.2">
      <c r="A114" s="1">
        <v>44781</v>
      </c>
      <c r="B114">
        <v>70.680000000000007</v>
      </c>
      <c r="C114">
        <v>73.489998</v>
      </c>
      <c r="D114">
        <v>70.680000000000007</v>
      </c>
      <c r="E114">
        <v>73.129997000000003</v>
      </c>
      <c r="F114">
        <f t="shared" si="9"/>
        <v>70.728667233333326</v>
      </c>
      <c r="G114">
        <f t="shared" si="5"/>
        <v>71.430000250000006</v>
      </c>
      <c r="H114">
        <f t="shared" si="7"/>
        <v>71.2320007</v>
      </c>
      <c r="I114">
        <f t="shared" si="6"/>
        <v>71.627999799999998</v>
      </c>
      <c r="J114">
        <f t="shared" si="8"/>
        <v>71.857503511885241</v>
      </c>
    </row>
    <row r="115" spans="1:10" x14ac:dyDescent="0.2">
      <c r="A115" s="1">
        <v>44782</v>
      </c>
      <c r="B115">
        <v>72.739998</v>
      </c>
      <c r="C115">
        <v>76.330001999999993</v>
      </c>
      <c r="D115">
        <v>72</v>
      </c>
      <c r="E115">
        <v>75.540001000000004</v>
      </c>
      <c r="F115">
        <f t="shared" si="9"/>
        <v>71.04666726666666</v>
      </c>
      <c r="G115">
        <f t="shared" si="5"/>
        <v>72.42</v>
      </c>
      <c r="H115">
        <f t="shared" si="7"/>
        <v>71.567999900000004</v>
      </c>
      <c r="I115">
        <f t="shared" si="6"/>
        <v>73.2720001</v>
      </c>
      <c r="J115">
        <f t="shared" si="8"/>
        <v>73.330502507131143</v>
      </c>
    </row>
    <row r="116" spans="1:10" x14ac:dyDescent="0.2">
      <c r="A116" s="1">
        <v>44783</v>
      </c>
      <c r="B116">
        <v>75.260002</v>
      </c>
      <c r="C116">
        <v>78.489998</v>
      </c>
      <c r="D116">
        <v>75.260002</v>
      </c>
      <c r="E116">
        <v>76.309997999999993</v>
      </c>
      <c r="F116">
        <f t="shared" si="9"/>
        <v>71.395333933333347</v>
      </c>
      <c r="G116">
        <f t="shared" si="5"/>
        <v>73.785000000000011</v>
      </c>
      <c r="H116">
        <f t="shared" si="7"/>
        <v>72.742000700000006</v>
      </c>
      <c r="I116">
        <f t="shared" si="6"/>
        <v>74.827999300000016</v>
      </c>
      <c r="J116">
        <f t="shared" si="8"/>
        <v>74.522300704278678</v>
      </c>
    </row>
    <row r="117" spans="1:10" x14ac:dyDescent="0.2">
      <c r="A117" s="1">
        <v>44784</v>
      </c>
      <c r="B117">
        <v>76.569999999999993</v>
      </c>
      <c r="C117">
        <v>78.989998</v>
      </c>
      <c r="D117">
        <v>75.209998999999996</v>
      </c>
      <c r="E117">
        <v>76.319999999999993</v>
      </c>
      <c r="F117">
        <f t="shared" si="9"/>
        <v>71.760333833333334</v>
      </c>
      <c r="G117">
        <f t="shared" si="5"/>
        <v>75.324999000000005</v>
      </c>
      <c r="H117">
        <f t="shared" si="7"/>
        <v>74.807998700000013</v>
      </c>
      <c r="I117">
        <f t="shared" si="6"/>
        <v>75.841999299999998</v>
      </c>
      <c r="J117">
        <f t="shared" si="8"/>
        <v>75.241380422567204</v>
      </c>
    </row>
    <row r="118" spans="1:10" x14ac:dyDescent="0.2">
      <c r="A118" s="1">
        <v>44785</v>
      </c>
      <c r="B118">
        <v>76.349997999999999</v>
      </c>
      <c r="C118">
        <v>77.330001999999993</v>
      </c>
      <c r="D118">
        <v>75</v>
      </c>
      <c r="E118">
        <v>76.690002000000007</v>
      </c>
      <c r="F118">
        <f t="shared" si="9"/>
        <v>72.123000633333319</v>
      </c>
      <c r="G118">
        <f t="shared" si="5"/>
        <v>76.215000250000003</v>
      </c>
      <c r="H118">
        <f t="shared" si="7"/>
        <v>76.042000000000002</v>
      </c>
      <c r="I118">
        <f t="shared" si="6"/>
        <v>76.388000500000004</v>
      </c>
      <c r="J118">
        <f t="shared" si="8"/>
        <v>75.820829053540322</v>
      </c>
    </row>
    <row r="119" spans="1:10" x14ac:dyDescent="0.2">
      <c r="A119" s="1">
        <v>44788</v>
      </c>
      <c r="B119">
        <v>76.379997000000003</v>
      </c>
      <c r="C119">
        <v>76.650002000000001</v>
      </c>
      <c r="D119">
        <v>74.300003000000004</v>
      </c>
      <c r="E119">
        <v>75.239998</v>
      </c>
      <c r="F119">
        <f t="shared" si="9"/>
        <v>72.312000566666669</v>
      </c>
      <c r="G119">
        <f t="shared" si="5"/>
        <v>76.139999500000002</v>
      </c>
      <c r="H119">
        <f t="shared" si="7"/>
        <v>76.281999400000004</v>
      </c>
      <c r="I119">
        <f t="shared" si="6"/>
        <v>75.997999600000014</v>
      </c>
      <c r="J119">
        <f t="shared" si="8"/>
        <v>75.58849663212419</v>
      </c>
    </row>
    <row r="120" spans="1:10" x14ac:dyDescent="0.2">
      <c r="A120" s="1">
        <v>44789</v>
      </c>
      <c r="B120">
        <v>75.180000000000007</v>
      </c>
      <c r="C120">
        <v>75.989998</v>
      </c>
      <c r="D120">
        <v>72.849997999999999</v>
      </c>
      <c r="E120">
        <v>74.769997000000004</v>
      </c>
      <c r="F120">
        <f t="shared" si="9"/>
        <v>72.56500046666666</v>
      </c>
      <c r="G120">
        <f t="shared" si="5"/>
        <v>75.754999249999997</v>
      </c>
      <c r="H120">
        <f t="shared" si="7"/>
        <v>76.059999900000008</v>
      </c>
      <c r="I120">
        <f t="shared" si="6"/>
        <v>75.449998600000015</v>
      </c>
      <c r="J120">
        <f t="shared" si="8"/>
        <v>75.26109677927451</v>
      </c>
    </row>
    <row r="121" spans="1:10" x14ac:dyDescent="0.2">
      <c r="A121" s="1">
        <v>44790</v>
      </c>
      <c r="B121">
        <v>74.110000999999997</v>
      </c>
      <c r="C121">
        <v>75.110000999999997</v>
      </c>
      <c r="D121">
        <v>73.029999000000004</v>
      </c>
      <c r="E121">
        <v>73.940002000000007</v>
      </c>
      <c r="F121">
        <f t="shared" si="9"/>
        <v>72.699333733333333</v>
      </c>
      <c r="G121">
        <f t="shared" si="5"/>
        <v>75.159999749999997</v>
      </c>
      <c r="H121">
        <f t="shared" si="7"/>
        <v>75.595999800000016</v>
      </c>
      <c r="I121">
        <f t="shared" si="6"/>
        <v>74.723999700000007</v>
      </c>
      <c r="J121">
        <f t="shared" si="8"/>
        <v>74.732658867564709</v>
      </c>
    </row>
    <row r="122" spans="1:10" x14ac:dyDescent="0.2">
      <c r="A122" s="1">
        <v>44791</v>
      </c>
      <c r="B122">
        <v>74.040001000000004</v>
      </c>
      <c r="C122">
        <v>74.279999000000004</v>
      </c>
      <c r="D122">
        <v>73.010002</v>
      </c>
      <c r="E122">
        <v>73.559997999999993</v>
      </c>
      <c r="F122">
        <f t="shared" si="9"/>
        <v>72.82866700000001</v>
      </c>
      <c r="G122">
        <f t="shared" si="5"/>
        <v>74.377498750000001</v>
      </c>
      <c r="H122">
        <f t="shared" si="7"/>
        <v>74.670998499999996</v>
      </c>
      <c r="I122">
        <f t="shared" si="6"/>
        <v>74.083999000000006</v>
      </c>
      <c r="J122">
        <f t="shared" si="8"/>
        <v>74.263594520538817</v>
      </c>
    </row>
    <row r="123" spans="1:10" x14ac:dyDescent="0.2">
      <c r="A123" s="1">
        <v>44792</v>
      </c>
      <c r="B123">
        <v>73.389999000000003</v>
      </c>
      <c r="C123">
        <v>74.400002000000001</v>
      </c>
      <c r="D123">
        <v>72.860000999999997</v>
      </c>
      <c r="E123">
        <v>73.559997999999993</v>
      </c>
      <c r="F123">
        <f t="shared" si="9"/>
        <v>72.927333666666684</v>
      </c>
      <c r="G123">
        <f t="shared" si="5"/>
        <v>73.957498749999999</v>
      </c>
      <c r="H123">
        <f t="shared" si="7"/>
        <v>74.157998800000001</v>
      </c>
      <c r="I123">
        <f t="shared" si="6"/>
        <v>73.756998699999997</v>
      </c>
      <c r="J123">
        <f t="shared" si="8"/>
        <v>73.982155912323293</v>
      </c>
    </row>
    <row r="124" spans="1:10" x14ac:dyDescent="0.2">
      <c r="A124" s="1">
        <v>44795</v>
      </c>
      <c r="B124">
        <v>73.489998</v>
      </c>
      <c r="C124">
        <v>74.970000999999996</v>
      </c>
      <c r="D124">
        <v>72.769997000000004</v>
      </c>
      <c r="E124">
        <v>74.519997000000004</v>
      </c>
      <c r="F124">
        <f t="shared" si="9"/>
        <v>73.052666833333348</v>
      </c>
      <c r="G124">
        <f t="shared" si="5"/>
        <v>73.894998749999999</v>
      </c>
      <c r="H124">
        <f t="shared" si="7"/>
        <v>73.807999500000008</v>
      </c>
      <c r="I124">
        <f t="shared" si="6"/>
        <v>73.981998000000004</v>
      </c>
      <c r="J124">
        <f t="shared" si="8"/>
        <v>74.197292347393983</v>
      </c>
    </row>
    <row r="125" spans="1:10" x14ac:dyDescent="0.2">
      <c r="A125" s="1">
        <v>44796</v>
      </c>
      <c r="B125">
        <v>74.309997999999993</v>
      </c>
      <c r="C125">
        <v>74.389999000000003</v>
      </c>
      <c r="D125">
        <v>72.5</v>
      </c>
      <c r="E125">
        <v>73.650002000000001</v>
      </c>
      <c r="F125">
        <f t="shared" si="9"/>
        <v>73.231333533333327</v>
      </c>
      <c r="G125">
        <f t="shared" si="5"/>
        <v>73.822498749999994</v>
      </c>
      <c r="H125">
        <f t="shared" si="7"/>
        <v>73.760998200000003</v>
      </c>
      <c r="I125">
        <f t="shared" si="6"/>
        <v>73.883999299999999</v>
      </c>
      <c r="J125">
        <f t="shared" si="8"/>
        <v>73.978376208436401</v>
      </c>
    </row>
    <row r="126" spans="1:10" x14ac:dyDescent="0.2">
      <c r="A126" s="1">
        <v>44797</v>
      </c>
      <c r="B126">
        <v>73.949996999999996</v>
      </c>
      <c r="C126">
        <v>74.059997999999993</v>
      </c>
      <c r="D126">
        <v>72.720000999999996</v>
      </c>
      <c r="E126">
        <v>73.5</v>
      </c>
      <c r="F126">
        <f t="shared" si="9"/>
        <v>73.379666766666645</v>
      </c>
      <c r="G126">
        <f t="shared" si="5"/>
        <v>73.807499250000006</v>
      </c>
      <c r="H126">
        <f t="shared" si="7"/>
        <v>73.859998700000006</v>
      </c>
      <c r="I126">
        <f t="shared" si="6"/>
        <v>73.754999800000007</v>
      </c>
      <c r="J126">
        <f t="shared" si="8"/>
        <v>73.787025725061838</v>
      </c>
    </row>
    <row r="127" spans="1:10" x14ac:dyDescent="0.2">
      <c r="A127" s="1">
        <v>44798</v>
      </c>
      <c r="B127">
        <v>73.440002000000007</v>
      </c>
      <c r="C127">
        <v>73.910004000000001</v>
      </c>
      <c r="D127">
        <v>72.5</v>
      </c>
      <c r="E127">
        <v>73.610000999999997</v>
      </c>
      <c r="F127">
        <f t="shared" si="9"/>
        <v>73.496333433333334</v>
      </c>
      <c r="G127">
        <f t="shared" si="5"/>
        <v>73.820000000000007</v>
      </c>
      <c r="H127">
        <f t="shared" si="7"/>
        <v>73.9639995</v>
      </c>
      <c r="I127">
        <f t="shared" si="6"/>
        <v>73.676000500000015</v>
      </c>
      <c r="J127">
        <f t="shared" si="8"/>
        <v>73.716215835037104</v>
      </c>
    </row>
    <row r="128" spans="1:10" x14ac:dyDescent="0.2">
      <c r="A128" s="1">
        <v>44799</v>
      </c>
      <c r="B128">
        <v>73.980002999999996</v>
      </c>
      <c r="C128">
        <v>74.010002</v>
      </c>
      <c r="D128">
        <v>73</v>
      </c>
      <c r="E128">
        <v>73.400002000000001</v>
      </c>
      <c r="F128">
        <f t="shared" si="9"/>
        <v>73.523000233333335</v>
      </c>
      <c r="G128">
        <f t="shared" si="5"/>
        <v>73.540001249999989</v>
      </c>
      <c r="H128">
        <f t="shared" si="7"/>
        <v>73.572001200000017</v>
      </c>
      <c r="I128">
        <f t="shared" si="6"/>
        <v>73.508001300000004</v>
      </c>
      <c r="J128">
        <f t="shared" si="8"/>
        <v>73.589730301022257</v>
      </c>
    </row>
    <row r="129" spans="1:10" x14ac:dyDescent="0.2">
      <c r="A129" s="1">
        <v>44802</v>
      </c>
      <c r="B129">
        <v>72.889999000000003</v>
      </c>
      <c r="C129">
        <v>73.230002999999996</v>
      </c>
      <c r="D129">
        <v>70.330001999999993</v>
      </c>
      <c r="E129">
        <v>71.129997000000003</v>
      </c>
      <c r="F129">
        <f t="shared" si="9"/>
        <v>73.51066680000001</v>
      </c>
      <c r="G129">
        <f t="shared" si="5"/>
        <v>72.91</v>
      </c>
      <c r="H129">
        <f t="shared" si="7"/>
        <v>73.276000400000001</v>
      </c>
      <c r="I129">
        <f t="shared" si="6"/>
        <v>72.543999600000006</v>
      </c>
      <c r="J129">
        <f t="shared" si="8"/>
        <v>72.605836980613361</v>
      </c>
    </row>
    <row r="130" spans="1:10" x14ac:dyDescent="0.2">
      <c r="A130" s="1">
        <v>44803</v>
      </c>
      <c r="B130">
        <v>71.150002000000001</v>
      </c>
      <c r="C130">
        <v>71.370002999999997</v>
      </c>
      <c r="D130">
        <v>68.980002999999996</v>
      </c>
      <c r="E130">
        <v>69.470000999999996</v>
      </c>
      <c r="F130">
        <f t="shared" si="9"/>
        <v>73.424000166666673</v>
      </c>
      <c r="G130">
        <f t="shared" si="5"/>
        <v>71.902500250000003</v>
      </c>
      <c r="H130">
        <f t="shared" si="7"/>
        <v>72.637000499999999</v>
      </c>
      <c r="I130">
        <f t="shared" si="6"/>
        <v>71.168000000000006</v>
      </c>
      <c r="J130">
        <f t="shared" si="8"/>
        <v>71.351502588368021</v>
      </c>
    </row>
    <row r="131" spans="1:10" x14ac:dyDescent="0.2">
      <c r="A131" s="1">
        <v>44804</v>
      </c>
      <c r="B131">
        <v>69.339995999999999</v>
      </c>
      <c r="C131">
        <v>69.690002000000007</v>
      </c>
      <c r="D131">
        <v>64.690002000000007</v>
      </c>
      <c r="E131">
        <v>66.220000999999996</v>
      </c>
      <c r="F131">
        <f t="shared" si="9"/>
        <v>73.217666733333346</v>
      </c>
      <c r="G131">
        <f t="shared" si="5"/>
        <v>70.055000250000006</v>
      </c>
      <c r="H131">
        <f t="shared" si="7"/>
        <v>71.215000200000006</v>
      </c>
      <c r="I131">
        <f t="shared" si="6"/>
        <v>68.895000300000007</v>
      </c>
      <c r="J131">
        <f t="shared" si="8"/>
        <v>69.298901953020817</v>
      </c>
    </row>
    <row r="132" spans="1:10" x14ac:dyDescent="0.2">
      <c r="A132" s="1">
        <v>44805</v>
      </c>
      <c r="B132">
        <v>66.470000999999996</v>
      </c>
      <c r="C132">
        <v>71.330001999999993</v>
      </c>
      <c r="D132">
        <v>65.839995999999999</v>
      </c>
      <c r="E132">
        <v>70.269997000000004</v>
      </c>
      <c r="F132">
        <f t="shared" si="9"/>
        <v>73.126666633333343</v>
      </c>
      <c r="G132">
        <f t="shared" si="5"/>
        <v>69.272498999999996</v>
      </c>
      <c r="H132">
        <f t="shared" si="7"/>
        <v>69.56399900000001</v>
      </c>
      <c r="I132">
        <f t="shared" si="6"/>
        <v>68.980999000000011</v>
      </c>
      <c r="J132">
        <f t="shared" si="8"/>
        <v>69.687339971812492</v>
      </c>
    </row>
    <row r="133" spans="1:10" x14ac:dyDescent="0.2">
      <c r="A133" s="1">
        <v>44806</v>
      </c>
      <c r="B133">
        <v>71</v>
      </c>
      <c r="C133">
        <v>72.349997999999999</v>
      </c>
      <c r="D133">
        <v>70.300003000000004</v>
      </c>
      <c r="E133">
        <v>71.970000999999996</v>
      </c>
      <c r="F133">
        <f t="shared" si="9"/>
        <v>73.044333266666669</v>
      </c>
      <c r="G133">
        <f t="shared" si="5"/>
        <v>69.482499999999987</v>
      </c>
      <c r="H133">
        <f t="shared" si="7"/>
        <v>68.905000200000003</v>
      </c>
      <c r="I133">
        <f t="shared" si="6"/>
        <v>70.0599998</v>
      </c>
      <c r="J133">
        <f t="shared" si="8"/>
        <v>70.600404383087493</v>
      </c>
    </row>
    <row r="134" spans="1:10" x14ac:dyDescent="0.2">
      <c r="A134" s="1">
        <v>44809</v>
      </c>
      <c r="B134">
        <v>72.349997999999999</v>
      </c>
      <c r="C134">
        <v>72.349997999999999</v>
      </c>
      <c r="D134">
        <v>69.980002999999996</v>
      </c>
      <c r="E134">
        <v>70.480002999999996</v>
      </c>
      <c r="F134">
        <f t="shared" si="9"/>
        <v>72.919000100000005</v>
      </c>
      <c r="G134">
        <f t="shared" ref="G134:G197" si="10">AVERAGE(E131:E134)</f>
        <v>69.735000499999998</v>
      </c>
      <c r="H134">
        <f t="shared" si="7"/>
        <v>69.01100000000001</v>
      </c>
      <c r="I134">
        <f t="shared" ref="I134:I197" si="11">SUMPRODUCT(E131:E134,$L$2:$L$5)</f>
        <v>70.459001000000001</v>
      </c>
      <c r="J134">
        <f t="shared" si="8"/>
        <v>70.5522438298525</v>
      </c>
    </row>
    <row r="135" spans="1:10" x14ac:dyDescent="0.2">
      <c r="A135" s="1">
        <v>44810</v>
      </c>
      <c r="B135">
        <v>70.510002</v>
      </c>
      <c r="C135">
        <v>71.019997000000004</v>
      </c>
      <c r="D135">
        <v>69.830001999999993</v>
      </c>
      <c r="E135">
        <v>70.879997000000003</v>
      </c>
      <c r="F135">
        <f t="shared" si="9"/>
        <v>72.812666666666672</v>
      </c>
      <c r="G135">
        <f t="shared" si="10"/>
        <v>70.899999500000007</v>
      </c>
      <c r="H135">
        <f t="shared" ref="H135:H198" si="12">SUMPRODUCT(E132:E135,$K$2:$K$5)</f>
        <v>70.882999400000003</v>
      </c>
      <c r="I135">
        <f t="shared" si="11"/>
        <v>70.916999600000011</v>
      </c>
      <c r="J135">
        <f t="shared" ref="J135:J198" si="13">$L$7*E135+(1-$L$7)*J134</f>
        <v>70.683345097911513</v>
      </c>
    </row>
    <row r="136" spans="1:10" x14ac:dyDescent="0.2">
      <c r="A136" s="1">
        <v>44811</v>
      </c>
      <c r="B136">
        <v>70.889999000000003</v>
      </c>
      <c r="C136">
        <v>72.300003000000004</v>
      </c>
      <c r="D136">
        <v>69.300003000000004</v>
      </c>
      <c r="E136">
        <v>71.940002000000007</v>
      </c>
      <c r="F136">
        <f t="shared" si="9"/>
        <v>72.775000066666678</v>
      </c>
      <c r="G136">
        <f t="shared" si="10"/>
        <v>71.317500749999994</v>
      </c>
      <c r="H136">
        <f t="shared" si="12"/>
        <v>71.30200090000001</v>
      </c>
      <c r="I136">
        <f t="shared" si="11"/>
        <v>71.333000600000005</v>
      </c>
      <c r="J136">
        <f t="shared" si="13"/>
        <v>71.186007858746905</v>
      </c>
    </row>
    <row r="137" spans="1:10" x14ac:dyDescent="0.2">
      <c r="A137" s="1">
        <v>44812</v>
      </c>
      <c r="B137">
        <v>72.930000000000007</v>
      </c>
      <c r="C137">
        <v>72.930000000000007</v>
      </c>
      <c r="D137">
        <v>70.919998000000007</v>
      </c>
      <c r="E137">
        <v>72.120002999999997</v>
      </c>
      <c r="F137">
        <f t="shared" si="9"/>
        <v>72.676333433333326</v>
      </c>
      <c r="G137">
        <f t="shared" si="10"/>
        <v>71.355001250000001</v>
      </c>
      <c r="H137">
        <f t="shared" si="12"/>
        <v>71.056001000000009</v>
      </c>
      <c r="I137">
        <f t="shared" si="11"/>
        <v>71.654001500000007</v>
      </c>
      <c r="J137">
        <f t="shared" si="13"/>
        <v>71.559605915248142</v>
      </c>
    </row>
    <row r="138" spans="1:10" x14ac:dyDescent="0.2">
      <c r="A138" s="1">
        <v>44813</v>
      </c>
      <c r="B138">
        <v>72.440002000000007</v>
      </c>
      <c r="C138">
        <v>73.360000999999997</v>
      </c>
      <c r="D138">
        <v>71.400002000000001</v>
      </c>
      <c r="E138">
        <v>73.029999000000004</v>
      </c>
      <c r="F138">
        <f t="shared" si="9"/>
        <v>72.709333366666669</v>
      </c>
      <c r="G138">
        <f t="shared" si="10"/>
        <v>71.992500250000006</v>
      </c>
      <c r="H138">
        <f t="shared" si="12"/>
        <v>71.660999900000007</v>
      </c>
      <c r="I138">
        <f t="shared" si="11"/>
        <v>72.324000600000005</v>
      </c>
      <c r="J138">
        <f t="shared" si="13"/>
        <v>72.147763149148886</v>
      </c>
    </row>
    <row r="139" spans="1:10" x14ac:dyDescent="0.2">
      <c r="A139" s="1">
        <v>44816</v>
      </c>
      <c r="B139">
        <v>73.540001000000004</v>
      </c>
      <c r="C139">
        <v>74.239998</v>
      </c>
      <c r="D139">
        <v>73.150002000000001</v>
      </c>
      <c r="E139">
        <v>73.699996999999996</v>
      </c>
      <c r="F139">
        <f t="shared" si="9"/>
        <v>72.794333200000011</v>
      </c>
      <c r="G139">
        <f t="shared" si="10"/>
        <v>72.69750024999999</v>
      </c>
      <c r="H139">
        <f t="shared" si="12"/>
        <v>72.388001200000005</v>
      </c>
      <c r="I139">
        <f t="shared" si="11"/>
        <v>73.006999300000004</v>
      </c>
      <c r="J139">
        <f t="shared" si="13"/>
        <v>72.768656689489333</v>
      </c>
    </row>
    <row r="140" spans="1:10" x14ac:dyDescent="0.2">
      <c r="A140" s="1">
        <v>44817</v>
      </c>
      <c r="B140">
        <v>73.410004000000001</v>
      </c>
      <c r="C140">
        <v>74.050003000000004</v>
      </c>
      <c r="D140">
        <v>72.300003000000004</v>
      </c>
      <c r="E140">
        <v>73.029999000000004</v>
      </c>
      <c r="F140">
        <f t="shared" si="9"/>
        <v>72.8189998</v>
      </c>
      <c r="G140">
        <f t="shared" si="10"/>
        <v>72.9699995</v>
      </c>
      <c r="H140">
        <f t="shared" si="12"/>
        <v>72.800000200000014</v>
      </c>
      <c r="I140">
        <f t="shared" si="11"/>
        <v>73.139998800000001</v>
      </c>
      <c r="J140">
        <f t="shared" si="13"/>
        <v>72.873193613693601</v>
      </c>
    </row>
    <row r="141" spans="1:10" x14ac:dyDescent="0.2">
      <c r="A141" s="1">
        <v>44818</v>
      </c>
      <c r="B141">
        <v>73.269997000000004</v>
      </c>
      <c r="C141">
        <v>75</v>
      </c>
      <c r="D141">
        <v>71.709998999999996</v>
      </c>
      <c r="E141">
        <v>72.650002000000001</v>
      </c>
      <c r="F141">
        <f t="shared" si="9"/>
        <v>72.854666466666657</v>
      </c>
      <c r="G141">
        <f t="shared" si="10"/>
        <v>73.102499249999994</v>
      </c>
      <c r="H141">
        <f t="shared" si="12"/>
        <v>73.192998700000018</v>
      </c>
      <c r="I141">
        <f t="shared" si="11"/>
        <v>73.011999800000012</v>
      </c>
      <c r="J141">
        <f t="shared" si="13"/>
        <v>72.783916968216161</v>
      </c>
    </row>
    <row r="142" spans="1:10" x14ac:dyDescent="0.2">
      <c r="A142" s="1">
        <v>44819</v>
      </c>
      <c r="B142">
        <v>72.519997000000004</v>
      </c>
      <c r="C142">
        <v>73.779999000000004</v>
      </c>
      <c r="D142">
        <v>72.209998999999996</v>
      </c>
      <c r="E142">
        <v>73.449996999999996</v>
      </c>
      <c r="F142">
        <f t="shared" si="9"/>
        <v>72.941333100000008</v>
      </c>
      <c r="G142">
        <f t="shared" si="10"/>
        <v>73.207498749999999</v>
      </c>
      <c r="H142">
        <f t="shared" si="12"/>
        <v>73.263998600000008</v>
      </c>
      <c r="I142">
        <f t="shared" si="11"/>
        <v>73.150998900000005</v>
      </c>
      <c r="J142">
        <f t="shared" si="13"/>
        <v>73.050348980929698</v>
      </c>
    </row>
    <row r="143" spans="1:10" x14ac:dyDescent="0.2">
      <c r="A143" s="1">
        <v>44823</v>
      </c>
      <c r="B143">
        <v>73.430000000000007</v>
      </c>
      <c r="C143">
        <v>75</v>
      </c>
      <c r="D143">
        <v>71.209998999999996</v>
      </c>
      <c r="E143">
        <v>72.919998000000007</v>
      </c>
      <c r="F143">
        <f t="shared" si="9"/>
        <v>73.033332899999991</v>
      </c>
      <c r="G143">
        <f t="shared" si="10"/>
        <v>73.012499000000005</v>
      </c>
      <c r="H143">
        <f t="shared" si="12"/>
        <v>72.988999400000012</v>
      </c>
      <c r="I143">
        <f t="shared" si="11"/>
        <v>73.035998599999999</v>
      </c>
      <c r="J143">
        <f t="shared" si="13"/>
        <v>72.998208588557816</v>
      </c>
    </row>
    <row r="144" spans="1:10" x14ac:dyDescent="0.2">
      <c r="A144" s="1">
        <v>44824</v>
      </c>
      <c r="B144">
        <v>73.220000999999996</v>
      </c>
      <c r="C144">
        <v>73.489998</v>
      </c>
      <c r="D144">
        <v>72.040001000000004</v>
      </c>
      <c r="E144">
        <v>72.970000999999996</v>
      </c>
      <c r="F144">
        <f t="shared" si="9"/>
        <v>73.027999699999995</v>
      </c>
      <c r="G144">
        <f t="shared" si="10"/>
        <v>72.997499500000004</v>
      </c>
      <c r="H144">
        <f t="shared" si="12"/>
        <v>72.975999600000009</v>
      </c>
      <c r="I144">
        <f t="shared" si="11"/>
        <v>73.018999400000013</v>
      </c>
      <c r="J144">
        <f t="shared" si="13"/>
        <v>72.986925553134682</v>
      </c>
    </row>
    <row r="145" spans="1:10" x14ac:dyDescent="0.2">
      <c r="A145" s="1">
        <v>44825</v>
      </c>
      <c r="B145">
        <v>73</v>
      </c>
      <c r="C145">
        <v>74</v>
      </c>
      <c r="D145">
        <v>72.129997000000003</v>
      </c>
      <c r="E145">
        <v>73.589995999999999</v>
      </c>
      <c r="F145">
        <f t="shared" si="9"/>
        <v>72.962999533333331</v>
      </c>
      <c r="G145">
        <f t="shared" si="10"/>
        <v>73.232498000000007</v>
      </c>
      <c r="H145">
        <f t="shared" si="12"/>
        <v>73.208998000000008</v>
      </c>
      <c r="I145">
        <f t="shared" si="11"/>
        <v>73.255998000000005</v>
      </c>
      <c r="J145">
        <f t="shared" si="13"/>
        <v>73.228153731880809</v>
      </c>
    </row>
    <row r="146" spans="1:10" x14ac:dyDescent="0.2">
      <c r="A146" s="1">
        <v>44826</v>
      </c>
      <c r="B146">
        <v>73.389999000000003</v>
      </c>
      <c r="C146">
        <v>75.519997000000004</v>
      </c>
      <c r="D146">
        <v>72.010002</v>
      </c>
      <c r="E146">
        <v>75.180000000000007</v>
      </c>
      <c r="F146">
        <f t="shared" si="9"/>
        <v>72.925332933333323</v>
      </c>
      <c r="G146">
        <f t="shared" si="10"/>
        <v>73.664998749999995</v>
      </c>
      <c r="H146">
        <f t="shared" si="12"/>
        <v>73.294998700000008</v>
      </c>
      <c r="I146">
        <f t="shared" si="11"/>
        <v>74.034998800000011</v>
      </c>
      <c r="J146">
        <f t="shared" si="13"/>
        <v>74.008892239128485</v>
      </c>
    </row>
    <row r="147" spans="1:10" x14ac:dyDescent="0.2">
      <c r="A147" s="1">
        <v>44827</v>
      </c>
      <c r="B147">
        <v>75.180000000000007</v>
      </c>
      <c r="C147">
        <v>75.180000000000007</v>
      </c>
      <c r="D147">
        <v>72</v>
      </c>
      <c r="E147">
        <v>72.389999000000003</v>
      </c>
      <c r="F147">
        <f t="shared" si="9"/>
        <v>72.794332900000001</v>
      </c>
      <c r="G147">
        <f t="shared" si="10"/>
        <v>73.532499000000001</v>
      </c>
      <c r="H147">
        <f t="shared" si="12"/>
        <v>73.539999100000003</v>
      </c>
      <c r="I147">
        <f t="shared" si="11"/>
        <v>73.5249989</v>
      </c>
      <c r="J147">
        <f t="shared" si="13"/>
        <v>73.36133494347709</v>
      </c>
    </row>
    <row r="148" spans="1:10" x14ac:dyDescent="0.2">
      <c r="A148" s="1">
        <v>44830</v>
      </c>
      <c r="B148">
        <v>72.769997000000004</v>
      </c>
      <c r="C148">
        <v>74.690002000000007</v>
      </c>
      <c r="D148">
        <v>71.050003000000004</v>
      </c>
      <c r="E148">
        <v>71.5</v>
      </c>
      <c r="F148">
        <f t="shared" si="9"/>
        <v>72.621332833333341</v>
      </c>
      <c r="G148">
        <f t="shared" si="10"/>
        <v>73.164998749999995</v>
      </c>
      <c r="H148">
        <f t="shared" si="12"/>
        <v>73.617998200000017</v>
      </c>
      <c r="I148">
        <f t="shared" si="11"/>
        <v>72.711999300000002</v>
      </c>
      <c r="J148">
        <f t="shared" si="13"/>
        <v>72.616800966086259</v>
      </c>
    </row>
    <row r="149" spans="1:10" x14ac:dyDescent="0.2">
      <c r="A149" s="1">
        <v>44831</v>
      </c>
      <c r="B149">
        <v>71.730002999999996</v>
      </c>
      <c r="C149">
        <v>74.800003000000004</v>
      </c>
      <c r="D149">
        <v>71.730002999999996</v>
      </c>
      <c r="E149">
        <v>73.510002</v>
      </c>
      <c r="F149">
        <f t="shared" si="9"/>
        <v>72.563666300000008</v>
      </c>
      <c r="G149">
        <f t="shared" si="10"/>
        <v>73.145000249999995</v>
      </c>
      <c r="H149">
        <f t="shared" si="12"/>
        <v>73.439999900000004</v>
      </c>
      <c r="I149">
        <f t="shared" si="11"/>
        <v>72.850000600000001</v>
      </c>
      <c r="J149">
        <f t="shared" si="13"/>
        <v>72.97408137965175</v>
      </c>
    </row>
    <row r="150" spans="1:10" x14ac:dyDescent="0.2">
      <c r="A150" s="1">
        <v>44832</v>
      </c>
      <c r="B150">
        <v>73.5</v>
      </c>
      <c r="C150">
        <v>74.400002000000001</v>
      </c>
      <c r="D150">
        <v>72.360000999999997</v>
      </c>
      <c r="E150">
        <v>73.5</v>
      </c>
      <c r="F150">
        <f t="shared" si="9"/>
        <v>72.521333066666685</v>
      </c>
      <c r="G150">
        <f t="shared" si="10"/>
        <v>72.725000249999994</v>
      </c>
      <c r="H150">
        <f t="shared" si="12"/>
        <v>72.457999999999998</v>
      </c>
      <c r="I150">
        <f t="shared" si="11"/>
        <v>72.992000500000003</v>
      </c>
      <c r="J150">
        <f t="shared" si="13"/>
        <v>73.184448827791044</v>
      </c>
    </row>
    <row r="151" spans="1:10" x14ac:dyDescent="0.2">
      <c r="A151" s="1">
        <v>44833</v>
      </c>
      <c r="B151">
        <v>73.269997000000004</v>
      </c>
      <c r="C151">
        <v>73.970000999999996</v>
      </c>
      <c r="D151">
        <v>72.199996999999996</v>
      </c>
      <c r="E151">
        <v>72.739998</v>
      </c>
      <c r="F151">
        <f t="shared" si="9"/>
        <v>72.481332933333334</v>
      </c>
      <c r="G151">
        <f t="shared" si="10"/>
        <v>72.8125</v>
      </c>
      <c r="H151">
        <f t="shared" si="12"/>
        <v>72.6270004</v>
      </c>
      <c r="I151">
        <f t="shared" si="11"/>
        <v>72.997999600000014</v>
      </c>
      <c r="J151">
        <f t="shared" si="13"/>
        <v>73.006668496674621</v>
      </c>
    </row>
    <row r="152" spans="1:10" x14ac:dyDescent="0.2">
      <c r="A152" s="1">
        <v>44834</v>
      </c>
      <c r="B152">
        <v>72.510002</v>
      </c>
      <c r="C152">
        <v>74.879997000000003</v>
      </c>
      <c r="D152">
        <v>70.730002999999996</v>
      </c>
      <c r="E152">
        <v>70.769997000000004</v>
      </c>
      <c r="F152">
        <f t="shared" si="9"/>
        <v>72.388332899999995</v>
      </c>
      <c r="G152">
        <f t="shared" si="10"/>
        <v>72.629999249999997</v>
      </c>
      <c r="H152">
        <f t="shared" si="12"/>
        <v>73.079000100000002</v>
      </c>
      <c r="I152">
        <f t="shared" si="11"/>
        <v>72.180998400000007</v>
      </c>
      <c r="J152">
        <f t="shared" si="13"/>
        <v>72.111999898004768</v>
      </c>
    </row>
    <row r="153" spans="1:10" x14ac:dyDescent="0.2">
      <c r="A153" s="1">
        <v>44837</v>
      </c>
      <c r="B153">
        <v>70.949996999999996</v>
      </c>
      <c r="C153">
        <v>72</v>
      </c>
      <c r="D153">
        <v>70.209998999999996</v>
      </c>
      <c r="E153">
        <v>71.730002999999996</v>
      </c>
      <c r="F153">
        <f t="shared" si="9"/>
        <v>72.327333066666668</v>
      </c>
      <c r="G153">
        <f t="shared" si="10"/>
        <v>72.184999500000004</v>
      </c>
      <c r="H153">
        <f t="shared" si="12"/>
        <v>72.548999100000003</v>
      </c>
      <c r="I153">
        <f t="shared" si="11"/>
        <v>71.820999900000004</v>
      </c>
      <c r="J153">
        <f t="shared" si="13"/>
        <v>71.959201138802854</v>
      </c>
    </row>
    <row r="154" spans="1:10" x14ac:dyDescent="0.2">
      <c r="A154" s="1">
        <v>44838</v>
      </c>
      <c r="B154">
        <v>72.319999999999993</v>
      </c>
      <c r="C154">
        <v>72.319999999999993</v>
      </c>
      <c r="D154">
        <v>70.239998</v>
      </c>
      <c r="E154">
        <v>71.680000000000007</v>
      </c>
      <c r="F154">
        <f t="shared" si="9"/>
        <v>72.232666500000008</v>
      </c>
      <c r="G154">
        <f t="shared" si="10"/>
        <v>71.729999500000005</v>
      </c>
      <c r="H154">
        <f t="shared" si="12"/>
        <v>71.840998900000017</v>
      </c>
      <c r="I154">
        <f t="shared" si="11"/>
        <v>71.619000100000008</v>
      </c>
      <c r="J154">
        <f t="shared" si="13"/>
        <v>71.847520683281715</v>
      </c>
    </row>
    <row r="155" spans="1:10" x14ac:dyDescent="0.2">
      <c r="A155" s="1">
        <v>44839</v>
      </c>
      <c r="B155">
        <v>71.389999000000003</v>
      </c>
      <c r="C155">
        <v>72.349997999999999</v>
      </c>
      <c r="D155">
        <v>70.319999999999993</v>
      </c>
      <c r="E155">
        <v>72.260002</v>
      </c>
      <c r="F155">
        <f t="shared" si="9"/>
        <v>72.186333166666671</v>
      </c>
      <c r="G155">
        <f t="shared" si="10"/>
        <v>71.610000499999998</v>
      </c>
      <c r="H155">
        <f t="shared" si="12"/>
        <v>71.388999900000002</v>
      </c>
      <c r="I155">
        <f t="shared" si="11"/>
        <v>71.831001100000009</v>
      </c>
      <c r="J155">
        <f t="shared" si="13"/>
        <v>72.012513209969029</v>
      </c>
    </row>
    <row r="156" spans="1:10" x14ac:dyDescent="0.2">
      <c r="A156" s="1">
        <v>44840</v>
      </c>
      <c r="B156">
        <v>72.160004000000001</v>
      </c>
      <c r="C156">
        <v>72.660004000000001</v>
      </c>
      <c r="D156">
        <v>70.610000999999997</v>
      </c>
      <c r="E156">
        <v>71.040001000000004</v>
      </c>
      <c r="F156">
        <f t="shared" si="9"/>
        <v>72.104333199999999</v>
      </c>
      <c r="G156">
        <f t="shared" si="10"/>
        <v>71.677501500000005</v>
      </c>
      <c r="H156">
        <f t="shared" si="12"/>
        <v>71.752001699999994</v>
      </c>
      <c r="I156">
        <f t="shared" si="11"/>
        <v>71.603001300000017</v>
      </c>
      <c r="J156">
        <f t="shared" si="13"/>
        <v>71.623508325981419</v>
      </c>
    </row>
    <row r="157" spans="1:10" x14ac:dyDescent="0.2">
      <c r="A157" s="1">
        <v>44841</v>
      </c>
      <c r="B157">
        <v>70.889999000000003</v>
      </c>
      <c r="C157">
        <v>73.989998</v>
      </c>
      <c r="D157">
        <v>70.739998</v>
      </c>
      <c r="E157">
        <v>72.889999000000003</v>
      </c>
      <c r="F157">
        <f t="shared" si="9"/>
        <v>72.08033313333334</v>
      </c>
      <c r="G157">
        <f t="shared" si="10"/>
        <v>71.9675005</v>
      </c>
      <c r="H157">
        <f t="shared" si="12"/>
        <v>71.847000699999995</v>
      </c>
      <c r="I157">
        <f t="shared" si="11"/>
        <v>72.088000300000004</v>
      </c>
      <c r="J157">
        <f t="shared" si="13"/>
        <v>72.130104595588847</v>
      </c>
    </row>
    <row r="158" spans="1:10" x14ac:dyDescent="0.2">
      <c r="A158" s="1">
        <v>44844</v>
      </c>
      <c r="B158">
        <v>72.5</v>
      </c>
      <c r="C158">
        <v>73.650002000000001</v>
      </c>
      <c r="D158">
        <v>70.25</v>
      </c>
      <c r="E158">
        <v>70.410004000000001</v>
      </c>
      <c r="F158">
        <f t="shared" si="9"/>
        <v>71.980666533333334</v>
      </c>
      <c r="G158">
        <f t="shared" si="10"/>
        <v>71.650001500000002</v>
      </c>
      <c r="H158">
        <f t="shared" si="12"/>
        <v>71.835001300000016</v>
      </c>
      <c r="I158">
        <f t="shared" si="11"/>
        <v>71.465001700000016</v>
      </c>
      <c r="J158">
        <f t="shared" si="13"/>
        <v>71.442064357353303</v>
      </c>
    </row>
    <row r="159" spans="1:10" x14ac:dyDescent="0.2">
      <c r="A159" s="1">
        <v>44845</v>
      </c>
      <c r="B159">
        <v>70.419998000000007</v>
      </c>
      <c r="C159">
        <v>73.959998999999996</v>
      </c>
      <c r="D159">
        <v>70.120002999999997</v>
      </c>
      <c r="E159">
        <v>72</v>
      </c>
      <c r="F159">
        <f t="shared" si="9"/>
        <v>72.009666633333339</v>
      </c>
      <c r="G159">
        <f t="shared" si="10"/>
        <v>71.585001000000005</v>
      </c>
      <c r="H159">
        <f t="shared" si="12"/>
        <v>71.565000900000015</v>
      </c>
      <c r="I159">
        <f t="shared" si="11"/>
        <v>71.60500110000001</v>
      </c>
      <c r="J159">
        <f t="shared" si="13"/>
        <v>71.665238614411976</v>
      </c>
    </row>
    <row r="160" spans="1:10" x14ac:dyDescent="0.2">
      <c r="A160" s="1">
        <v>44846</v>
      </c>
      <c r="B160">
        <v>72.169998000000007</v>
      </c>
      <c r="C160">
        <v>73.489998</v>
      </c>
      <c r="D160">
        <v>70.680000000000007</v>
      </c>
      <c r="E160">
        <v>71.190002000000007</v>
      </c>
      <c r="F160">
        <f t="shared" ref="F160:F223" si="14">AVERAGE(E131:E160)</f>
        <v>72.066999999999993</v>
      </c>
      <c r="G160">
        <f t="shared" si="10"/>
        <v>71.622501249999999</v>
      </c>
      <c r="H160">
        <f t="shared" si="12"/>
        <v>71.798001000000014</v>
      </c>
      <c r="I160">
        <f t="shared" si="11"/>
        <v>71.447001500000013</v>
      </c>
      <c r="J160">
        <f t="shared" si="13"/>
        <v>71.475143968647188</v>
      </c>
    </row>
    <row r="161" spans="1:10" x14ac:dyDescent="0.2">
      <c r="A161" s="1">
        <v>44847</v>
      </c>
      <c r="B161">
        <v>70.610000999999997</v>
      </c>
      <c r="C161">
        <v>71.970000999999996</v>
      </c>
      <c r="D161">
        <v>70</v>
      </c>
      <c r="E161">
        <v>70.669998000000007</v>
      </c>
      <c r="F161">
        <f t="shared" si="14"/>
        <v>72.215333233333325</v>
      </c>
      <c r="G161">
        <f t="shared" si="10"/>
        <v>71.067501000000007</v>
      </c>
      <c r="H161">
        <f t="shared" si="12"/>
        <v>71.069001800000009</v>
      </c>
      <c r="I161">
        <f t="shared" si="11"/>
        <v>71.066000200000019</v>
      </c>
      <c r="J161">
        <f t="shared" si="13"/>
        <v>71.153085581188321</v>
      </c>
    </row>
    <row r="162" spans="1:10" x14ac:dyDescent="0.2">
      <c r="A162" s="1">
        <v>44848</v>
      </c>
      <c r="B162">
        <v>70.800003000000004</v>
      </c>
      <c r="C162">
        <v>72.050003000000004</v>
      </c>
      <c r="D162">
        <v>68.830001999999993</v>
      </c>
      <c r="E162">
        <v>70.059997999999993</v>
      </c>
      <c r="F162">
        <f t="shared" si="14"/>
        <v>72.208333266666671</v>
      </c>
      <c r="G162">
        <f t="shared" si="10"/>
        <v>70.979999500000005</v>
      </c>
      <c r="H162">
        <f t="shared" si="12"/>
        <v>71.297000000000011</v>
      </c>
      <c r="I162">
        <f t="shared" si="11"/>
        <v>70.662999000000013</v>
      </c>
      <c r="J162">
        <f t="shared" si="13"/>
        <v>70.715850548712993</v>
      </c>
    </row>
    <row r="163" spans="1:10" x14ac:dyDescent="0.2">
      <c r="A163" s="1">
        <v>44851</v>
      </c>
      <c r="B163">
        <v>70.410004000000001</v>
      </c>
      <c r="C163">
        <v>74.5</v>
      </c>
      <c r="D163">
        <v>70.410004000000001</v>
      </c>
      <c r="E163">
        <v>73</v>
      </c>
      <c r="F163">
        <f t="shared" si="14"/>
        <v>72.242666566666685</v>
      </c>
      <c r="G163">
        <f t="shared" si="10"/>
        <v>71.229999500000005</v>
      </c>
      <c r="H163">
        <f t="shared" si="12"/>
        <v>70.988999800000002</v>
      </c>
      <c r="I163">
        <f t="shared" si="11"/>
        <v>71.470999200000008</v>
      </c>
      <c r="J163">
        <f t="shared" si="13"/>
        <v>71.629510329227799</v>
      </c>
    </row>
    <row r="164" spans="1:10" x14ac:dyDescent="0.2">
      <c r="A164" s="1">
        <v>44852</v>
      </c>
      <c r="B164">
        <v>73.540001000000004</v>
      </c>
      <c r="C164">
        <v>73.980002999999996</v>
      </c>
      <c r="D164">
        <v>71.309997999999993</v>
      </c>
      <c r="E164">
        <v>71.930000000000007</v>
      </c>
      <c r="F164">
        <f t="shared" si="14"/>
        <v>72.290999799999994</v>
      </c>
      <c r="G164">
        <f t="shared" si="10"/>
        <v>71.414998999999995</v>
      </c>
      <c r="H164">
        <f t="shared" si="12"/>
        <v>71.078998600000006</v>
      </c>
      <c r="I164">
        <f t="shared" si="11"/>
        <v>71.750999400000012</v>
      </c>
      <c r="J164">
        <f t="shared" si="13"/>
        <v>71.749706197536682</v>
      </c>
    </row>
    <row r="165" spans="1:10" x14ac:dyDescent="0.2">
      <c r="A165" s="1">
        <v>44853</v>
      </c>
      <c r="B165">
        <v>71.620002999999997</v>
      </c>
      <c r="C165">
        <v>72.169998000000007</v>
      </c>
      <c r="D165">
        <v>70</v>
      </c>
      <c r="E165">
        <v>70.040001000000004</v>
      </c>
      <c r="F165">
        <f t="shared" si="14"/>
        <v>72.262999933333333</v>
      </c>
      <c r="G165">
        <f t="shared" si="10"/>
        <v>71.257499750000008</v>
      </c>
      <c r="H165">
        <f t="shared" si="12"/>
        <v>71.313999299999992</v>
      </c>
      <c r="I165">
        <f t="shared" si="11"/>
        <v>71.20100020000001</v>
      </c>
      <c r="J165">
        <f t="shared" si="13"/>
        <v>71.065824118522016</v>
      </c>
    </row>
    <row r="166" spans="1:10" x14ac:dyDescent="0.2">
      <c r="A166" s="1">
        <v>44854</v>
      </c>
      <c r="B166">
        <v>70.510002</v>
      </c>
      <c r="C166">
        <v>72.800003000000004</v>
      </c>
      <c r="D166">
        <v>69.529999000000004</v>
      </c>
      <c r="E166">
        <v>70.5</v>
      </c>
      <c r="F166">
        <f t="shared" si="14"/>
        <v>72.214999866666673</v>
      </c>
      <c r="G166">
        <f t="shared" si="10"/>
        <v>71.367500250000006</v>
      </c>
      <c r="H166">
        <f t="shared" si="12"/>
        <v>71.837000200000006</v>
      </c>
      <c r="I166">
        <f t="shared" si="11"/>
        <v>70.898000300000007</v>
      </c>
      <c r="J166">
        <f t="shared" si="13"/>
        <v>70.839494471113213</v>
      </c>
    </row>
    <row r="167" spans="1:10" x14ac:dyDescent="0.2">
      <c r="A167" s="1">
        <v>44855</v>
      </c>
      <c r="B167">
        <v>70.720000999999996</v>
      </c>
      <c r="C167">
        <v>72.449996999999996</v>
      </c>
      <c r="D167">
        <v>69.440002000000007</v>
      </c>
      <c r="E167">
        <v>71.800003000000004</v>
      </c>
      <c r="F167">
        <f t="shared" si="14"/>
        <v>72.204333200000008</v>
      </c>
      <c r="G167">
        <f t="shared" si="10"/>
        <v>71.067501000000007</v>
      </c>
      <c r="H167">
        <f t="shared" si="12"/>
        <v>71.064000600000014</v>
      </c>
      <c r="I167">
        <f t="shared" si="11"/>
        <v>71.0710014</v>
      </c>
      <c r="J167">
        <f t="shared" si="13"/>
        <v>71.223697882667935</v>
      </c>
    </row>
    <row r="168" spans="1:10" x14ac:dyDescent="0.2">
      <c r="A168" s="1">
        <v>44858</v>
      </c>
      <c r="B168">
        <v>72.150002000000001</v>
      </c>
      <c r="C168">
        <v>73.779999000000004</v>
      </c>
      <c r="D168">
        <v>71.760002</v>
      </c>
      <c r="E168">
        <v>73.370002999999997</v>
      </c>
      <c r="F168">
        <f t="shared" si="14"/>
        <v>72.215666666666678</v>
      </c>
      <c r="G168">
        <f t="shared" si="10"/>
        <v>71.427501750000005</v>
      </c>
      <c r="H168">
        <f t="shared" si="12"/>
        <v>70.863001300000008</v>
      </c>
      <c r="I168">
        <f t="shared" si="11"/>
        <v>71.992002200000002</v>
      </c>
      <c r="J168">
        <f t="shared" si="13"/>
        <v>72.082219929600768</v>
      </c>
    </row>
    <row r="169" spans="1:10" x14ac:dyDescent="0.2">
      <c r="A169" s="1">
        <v>44859</v>
      </c>
      <c r="B169">
        <v>72.309997999999993</v>
      </c>
      <c r="C169">
        <v>75.379997000000003</v>
      </c>
      <c r="D169">
        <v>72</v>
      </c>
      <c r="E169">
        <v>75.220000999999996</v>
      </c>
      <c r="F169">
        <f t="shared" si="14"/>
        <v>72.266333466666694</v>
      </c>
      <c r="G169">
        <f t="shared" si="10"/>
        <v>72.722501749999992</v>
      </c>
      <c r="H169">
        <f t="shared" si="12"/>
        <v>71.936001600000012</v>
      </c>
      <c r="I169">
        <f t="shared" si="11"/>
        <v>73.509001900000001</v>
      </c>
      <c r="J169">
        <f t="shared" si="13"/>
        <v>73.337332357760459</v>
      </c>
    </row>
    <row r="170" spans="1:10" x14ac:dyDescent="0.2">
      <c r="A170" s="1">
        <v>44860</v>
      </c>
      <c r="B170">
        <v>75.160004000000001</v>
      </c>
      <c r="C170">
        <v>75.309997999999993</v>
      </c>
      <c r="D170">
        <v>73.610000999999997</v>
      </c>
      <c r="E170">
        <v>74.599997999999999</v>
      </c>
      <c r="F170">
        <f t="shared" si="14"/>
        <v>72.318666766666681</v>
      </c>
      <c r="G170">
        <f t="shared" si="10"/>
        <v>73.747501249999999</v>
      </c>
      <c r="H170">
        <f t="shared" si="12"/>
        <v>73.235002100000017</v>
      </c>
      <c r="I170">
        <f t="shared" si="11"/>
        <v>74.260000399999996</v>
      </c>
      <c r="J170">
        <f t="shared" si="13"/>
        <v>73.842398614656275</v>
      </c>
    </row>
    <row r="171" spans="1:10" x14ac:dyDescent="0.2">
      <c r="A171" s="1">
        <v>44861</v>
      </c>
      <c r="B171">
        <v>74.5</v>
      </c>
      <c r="C171">
        <v>75.5</v>
      </c>
      <c r="D171">
        <v>74.300003000000004</v>
      </c>
      <c r="E171">
        <v>74.800003000000004</v>
      </c>
      <c r="F171">
        <f t="shared" si="14"/>
        <v>72.390333466666661</v>
      </c>
      <c r="G171">
        <f t="shared" si="10"/>
        <v>74.497501249999999</v>
      </c>
      <c r="H171">
        <f t="shared" si="12"/>
        <v>74.314001399999995</v>
      </c>
      <c r="I171">
        <f t="shared" si="11"/>
        <v>74.681001100000003</v>
      </c>
      <c r="J171">
        <f t="shared" si="13"/>
        <v>74.225440368793755</v>
      </c>
    </row>
    <row r="172" spans="1:10" x14ac:dyDescent="0.2">
      <c r="A172" s="1">
        <v>44862</v>
      </c>
      <c r="B172">
        <v>75.550003000000004</v>
      </c>
      <c r="C172">
        <v>76.760002</v>
      </c>
      <c r="D172">
        <v>74.550003000000004</v>
      </c>
      <c r="E172">
        <v>76.430000000000007</v>
      </c>
      <c r="F172">
        <f t="shared" si="14"/>
        <v>72.489666900000003</v>
      </c>
      <c r="G172">
        <f t="shared" si="10"/>
        <v>75.262500500000002</v>
      </c>
      <c r="H172">
        <f t="shared" si="12"/>
        <v>75.071000400000003</v>
      </c>
      <c r="I172">
        <f t="shared" si="11"/>
        <v>75.454000600000001</v>
      </c>
      <c r="J172">
        <f t="shared" si="13"/>
        <v>75.107264221276253</v>
      </c>
    </row>
    <row r="173" spans="1:10" x14ac:dyDescent="0.2">
      <c r="A173" s="1">
        <v>44865</v>
      </c>
      <c r="B173">
        <v>76.300003000000004</v>
      </c>
      <c r="C173">
        <v>79.5</v>
      </c>
      <c r="D173">
        <v>75.260002</v>
      </c>
      <c r="E173">
        <v>76.809997999999993</v>
      </c>
      <c r="F173">
        <f t="shared" si="14"/>
        <v>72.619333566666668</v>
      </c>
      <c r="G173">
        <f t="shared" si="10"/>
        <v>75.659999749999997</v>
      </c>
      <c r="H173">
        <f t="shared" si="12"/>
        <v>75.246999900000006</v>
      </c>
      <c r="I173">
        <f t="shared" si="11"/>
        <v>76.072999600000003</v>
      </c>
      <c r="J173">
        <f t="shared" si="13"/>
        <v>75.788357732765746</v>
      </c>
    </row>
    <row r="174" spans="1:10" x14ac:dyDescent="0.2">
      <c r="A174" s="1">
        <v>44866</v>
      </c>
      <c r="B174">
        <v>76.809997999999993</v>
      </c>
      <c r="C174">
        <v>82.059997999999993</v>
      </c>
      <c r="D174">
        <v>76.569999999999993</v>
      </c>
      <c r="E174">
        <v>81.900002000000001</v>
      </c>
      <c r="F174">
        <f t="shared" si="14"/>
        <v>72.917000266666676</v>
      </c>
      <c r="G174">
        <f t="shared" si="10"/>
        <v>77.485000750000012</v>
      </c>
      <c r="H174">
        <f t="shared" si="12"/>
        <v>76.401001000000008</v>
      </c>
      <c r="I174">
        <f t="shared" si="11"/>
        <v>78.569000500000001</v>
      </c>
      <c r="J174">
        <f t="shared" si="13"/>
        <v>78.233015439659454</v>
      </c>
    </row>
    <row r="175" spans="1:10" x14ac:dyDescent="0.2">
      <c r="A175" s="1">
        <v>44868</v>
      </c>
      <c r="B175">
        <v>81.010002</v>
      </c>
      <c r="C175">
        <v>81.839995999999999</v>
      </c>
      <c r="D175">
        <v>79.230002999999996</v>
      </c>
      <c r="E175">
        <v>79.569999999999993</v>
      </c>
      <c r="F175">
        <f t="shared" si="14"/>
        <v>73.116333733333335</v>
      </c>
      <c r="G175">
        <f t="shared" si="10"/>
        <v>78.677500000000009</v>
      </c>
      <c r="H175">
        <f t="shared" si="12"/>
        <v>77.951999799999996</v>
      </c>
      <c r="I175">
        <f t="shared" si="11"/>
        <v>79.403000200000008</v>
      </c>
      <c r="J175">
        <f t="shared" si="13"/>
        <v>78.767809263795669</v>
      </c>
    </row>
    <row r="176" spans="1:10" x14ac:dyDescent="0.2">
      <c r="A176" s="1">
        <v>44869</v>
      </c>
      <c r="B176">
        <v>80.839995999999999</v>
      </c>
      <c r="C176">
        <v>82.330001999999993</v>
      </c>
      <c r="D176">
        <v>79.309997999999993</v>
      </c>
      <c r="E176">
        <v>81.069999999999993</v>
      </c>
      <c r="F176">
        <f t="shared" si="14"/>
        <v>73.312667066666691</v>
      </c>
      <c r="G176">
        <f t="shared" si="10"/>
        <v>79.837499999999991</v>
      </c>
      <c r="H176">
        <f t="shared" si="12"/>
        <v>79.314999799999995</v>
      </c>
      <c r="I176">
        <f t="shared" si="11"/>
        <v>80.360000200000002</v>
      </c>
      <c r="J176">
        <f t="shared" si="13"/>
        <v>79.688685558277399</v>
      </c>
    </row>
    <row r="177" spans="1:10" x14ac:dyDescent="0.2">
      <c r="A177" s="1">
        <v>44872</v>
      </c>
      <c r="B177">
        <v>81.209998999999996</v>
      </c>
      <c r="C177">
        <v>82.93</v>
      </c>
      <c r="D177">
        <v>79.779999000000004</v>
      </c>
      <c r="E177">
        <v>80.260002</v>
      </c>
      <c r="F177">
        <f t="shared" si="14"/>
        <v>73.575000500000002</v>
      </c>
      <c r="G177">
        <f t="shared" si="10"/>
        <v>80.700001</v>
      </c>
      <c r="H177">
        <f t="shared" si="12"/>
        <v>80.871001000000007</v>
      </c>
      <c r="I177">
        <f t="shared" si="11"/>
        <v>80.529000999999994</v>
      </c>
      <c r="J177">
        <f t="shared" si="13"/>
        <v>79.917212134966434</v>
      </c>
    </row>
    <row r="178" spans="1:10" x14ac:dyDescent="0.2">
      <c r="A178" s="1">
        <v>44873</v>
      </c>
      <c r="B178">
        <v>80.819999999999993</v>
      </c>
      <c r="C178">
        <v>83.169998000000007</v>
      </c>
      <c r="D178">
        <v>80.269997000000004</v>
      </c>
      <c r="E178">
        <v>81.559997999999993</v>
      </c>
      <c r="F178">
        <f t="shared" si="14"/>
        <v>73.910333766666682</v>
      </c>
      <c r="G178">
        <f t="shared" si="10"/>
        <v>80.614999999999995</v>
      </c>
      <c r="H178">
        <f t="shared" si="12"/>
        <v>80.357000200000002</v>
      </c>
      <c r="I178">
        <f t="shared" si="11"/>
        <v>80.872999800000002</v>
      </c>
      <c r="J178">
        <f t="shared" si="13"/>
        <v>80.574326480979863</v>
      </c>
    </row>
    <row r="179" spans="1:10" x14ac:dyDescent="0.2">
      <c r="A179" s="1">
        <v>44874</v>
      </c>
      <c r="B179">
        <v>81.559997999999993</v>
      </c>
      <c r="C179">
        <v>82.68</v>
      </c>
      <c r="D179">
        <v>80.589995999999999</v>
      </c>
      <c r="E179">
        <v>81.569999999999993</v>
      </c>
      <c r="F179">
        <f t="shared" si="14"/>
        <v>74.179000366666685</v>
      </c>
      <c r="G179">
        <f t="shared" si="10"/>
        <v>81.114999999999995</v>
      </c>
      <c r="H179">
        <f t="shared" si="12"/>
        <v>80.975000199999997</v>
      </c>
      <c r="I179">
        <f t="shared" si="11"/>
        <v>81.254999800000007</v>
      </c>
      <c r="J179">
        <f t="shared" si="13"/>
        <v>80.972595888587918</v>
      </c>
    </row>
    <row r="180" spans="1:10" x14ac:dyDescent="0.2">
      <c r="A180" s="1">
        <v>44875</v>
      </c>
      <c r="B180">
        <v>82.449996999999996</v>
      </c>
      <c r="C180">
        <v>84.209998999999996</v>
      </c>
      <c r="D180">
        <v>82</v>
      </c>
      <c r="E180">
        <v>82.879997000000003</v>
      </c>
      <c r="F180">
        <f t="shared" si="14"/>
        <v>74.491666933333335</v>
      </c>
      <c r="G180">
        <f t="shared" si="10"/>
        <v>81.567499249999997</v>
      </c>
      <c r="H180">
        <f t="shared" si="12"/>
        <v>81.173999900000013</v>
      </c>
      <c r="I180">
        <f t="shared" si="11"/>
        <v>81.960998599999996</v>
      </c>
      <c r="J180">
        <f t="shared" si="13"/>
        <v>81.735556333152743</v>
      </c>
    </row>
    <row r="181" spans="1:10" x14ac:dyDescent="0.2">
      <c r="A181" s="1">
        <v>44876</v>
      </c>
      <c r="B181">
        <v>82.980002999999996</v>
      </c>
      <c r="C181">
        <v>84.279999000000004</v>
      </c>
      <c r="D181">
        <v>82.019997000000004</v>
      </c>
      <c r="E181">
        <v>83.489998</v>
      </c>
      <c r="F181">
        <f t="shared" si="14"/>
        <v>74.850000266666669</v>
      </c>
      <c r="G181">
        <f t="shared" si="10"/>
        <v>82.374998250000004</v>
      </c>
      <c r="H181">
        <f t="shared" si="12"/>
        <v>82.019998400000006</v>
      </c>
      <c r="I181">
        <f t="shared" si="11"/>
        <v>82.729998100000003</v>
      </c>
      <c r="J181">
        <f t="shared" si="13"/>
        <v>82.437332999891652</v>
      </c>
    </row>
    <row r="182" spans="1:10" x14ac:dyDescent="0.2">
      <c r="A182" s="1">
        <v>44879</v>
      </c>
      <c r="B182">
        <v>83.160004000000001</v>
      </c>
      <c r="C182">
        <v>86.93</v>
      </c>
      <c r="D182">
        <v>83.059997999999993</v>
      </c>
      <c r="E182">
        <v>85.730002999999996</v>
      </c>
      <c r="F182">
        <f t="shared" si="14"/>
        <v>75.348667133333322</v>
      </c>
      <c r="G182">
        <f t="shared" si="10"/>
        <v>83.417499500000005</v>
      </c>
      <c r="H182">
        <f t="shared" si="12"/>
        <v>82.762999000000008</v>
      </c>
      <c r="I182">
        <f t="shared" si="11"/>
        <v>84.072000000000003</v>
      </c>
      <c r="J182">
        <f t="shared" si="13"/>
        <v>83.754400999935001</v>
      </c>
    </row>
    <row r="183" spans="1:10" x14ac:dyDescent="0.2">
      <c r="A183" s="1">
        <v>44880</v>
      </c>
      <c r="B183">
        <v>86.230002999999996</v>
      </c>
      <c r="C183">
        <v>88.050003000000004</v>
      </c>
      <c r="D183">
        <v>83.910004000000001</v>
      </c>
      <c r="E183">
        <v>85.57</v>
      </c>
      <c r="F183">
        <f t="shared" si="14"/>
        <v>75.810000366666657</v>
      </c>
      <c r="G183">
        <f t="shared" si="10"/>
        <v>84.417499500000005</v>
      </c>
      <c r="H183">
        <f t="shared" si="12"/>
        <v>83.901998800000015</v>
      </c>
      <c r="I183">
        <f t="shared" si="11"/>
        <v>84.933000200000009</v>
      </c>
      <c r="J183">
        <f t="shared" si="13"/>
        <v>84.480640599960992</v>
      </c>
    </row>
    <row r="184" spans="1:10" x14ac:dyDescent="0.2">
      <c r="A184" s="1">
        <v>44881</v>
      </c>
      <c r="B184">
        <v>85.300003000000004</v>
      </c>
      <c r="C184">
        <v>86.529999000000004</v>
      </c>
      <c r="D184">
        <v>85.139999000000003</v>
      </c>
      <c r="E184">
        <v>85.910004000000001</v>
      </c>
      <c r="F184">
        <f t="shared" si="14"/>
        <v>76.284333833333321</v>
      </c>
      <c r="G184">
        <f t="shared" si="10"/>
        <v>85.175001249999994</v>
      </c>
      <c r="H184">
        <f t="shared" si="12"/>
        <v>84.820000500000006</v>
      </c>
      <c r="I184">
        <f t="shared" si="11"/>
        <v>85.530001999999996</v>
      </c>
      <c r="J184">
        <f t="shared" si="13"/>
        <v>85.05238595997659</v>
      </c>
    </row>
    <row r="185" spans="1:10" x14ac:dyDescent="0.2">
      <c r="A185" s="1">
        <v>44882</v>
      </c>
      <c r="B185">
        <v>85.099997999999999</v>
      </c>
      <c r="C185">
        <v>86.709998999999996</v>
      </c>
      <c r="D185">
        <v>84.199996999999996</v>
      </c>
      <c r="E185">
        <v>85.379997000000003</v>
      </c>
      <c r="F185">
        <f t="shared" si="14"/>
        <v>76.721666999999997</v>
      </c>
      <c r="G185">
        <f t="shared" si="10"/>
        <v>85.647501000000005</v>
      </c>
      <c r="H185">
        <f t="shared" si="12"/>
        <v>85.683001700000005</v>
      </c>
      <c r="I185">
        <f t="shared" si="11"/>
        <v>85.612000300000005</v>
      </c>
      <c r="J185">
        <f t="shared" si="13"/>
        <v>85.183430375985949</v>
      </c>
    </row>
    <row r="186" spans="1:10" x14ac:dyDescent="0.2">
      <c r="A186" s="1">
        <v>44883</v>
      </c>
      <c r="B186">
        <v>85.68</v>
      </c>
      <c r="C186">
        <v>90.339995999999999</v>
      </c>
      <c r="D186">
        <v>85.68</v>
      </c>
      <c r="E186">
        <v>87.5</v>
      </c>
      <c r="F186">
        <f t="shared" si="14"/>
        <v>77.270333633333323</v>
      </c>
      <c r="G186">
        <f t="shared" si="10"/>
        <v>86.090000250000003</v>
      </c>
      <c r="H186">
        <f t="shared" si="12"/>
        <v>85.827000600000005</v>
      </c>
      <c r="I186">
        <f t="shared" si="11"/>
        <v>86.3529999</v>
      </c>
      <c r="J186">
        <f t="shared" si="13"/>
        <v>86.110058225591558</v>
      </c>
    </row>
    <row r="187" spans="1:10" x14ac:dyDescent="0.2">
      <c r="A187" s="1">
        <v>44887</v>
      </c>
      <c r="B187">
        <v>87.800003000000004</v>
      </c>
      <c r="C187">
        <v>88.830001999999993</v>
      </c>
      <c r="D187">
        <v>85.080001999999993</v>
      </c>
      <c r="E187">
        <v>85.580001999999993</v>
      </c>
      <c r="F187">
        <f t="shared" si="14"/>
        <v>77.693333733333333</v>
      </c>
      <c r="G187">
        <f t="shared" si="10"/>
        <v>86.092500749999999</v>
      </c>
      <c r="H187">
        <f t="shared" si="12"/>
        <v>86.036000900000005</v>
      </c>
      <c r="I187">
        <f t="shared" si="11"/>
        <v>86.149000599999994</v>
      </c>
      <c r="J187">
        <f t="shared" si="13"/>
        <v>85.898035735354938</v>
      </c>
    </row>
    <row r="188" spans="1:10" x14ac:dyDescent="0.2">
      <c r="A188" s="1">
        <v>44888</v>
      </c>
      <c r="B188">
        <v>85.480002999999996</v>
      </c>
      <c r="C188">
        <v>87.75</v>
      </c>
      <c r="D188">
        <v>84.910004000000001</v>
      </c>
      <c r="E188">
        <v>86.989998</v>
      </c>
      <c r="F188">
        <f t="shared" si="14"/>
        <v>78.246000199999997</v>
      </c>
      <c r="G188">
        <f t="shared" si="10"/>
        <v>86.362499249999999</v>
      </c>
      <c r="H188">
        <f t="shared" si="12"/>
        <v>86.216999000000001</v>
      </c>
      <c r="I188">
        <f t="shared" si="11"/>
        <v>86.507999500000011</v>
      </c>
      <c r="J188">
        <f t="shared" si="13"/>
        <v>86.334820641212957</v>
      </c>
    </row>
    <row r="189" spans="1:10" x14ac:dyDescent="0.2">
      <c r="A189" s="1">
        <v>44889</v>
      </c>
      <c r="B189">
        <v>86.989998</v>
      </c>
      <c r="C189">
        <v>87.529999000000004</v>
      </c>
      <c r="D189">
        <v>85.690002000000007</v>
      </c>
      <c r="E189">
        <v>87.400002000000001</v>
      </c>
      <c r="F189">
        <f t="shared" si="14"/>
        <v>78.759333599999991</v>
      </c>
      <c r="G189">
        <f t="shared" si="10"/>
        <v>86.867500500000006</v>
      </c>
      <c r="H189">
        <f t="shared" si="12"/>
        <v>86.812000400000002</v>
      </c>
      <c r="I189">
        <f t="shared" si="11"/>
        <v>86.923000600000009</v>
      </c>
      <c r="J189">
        <f t="shared" si="13"/>
        <v>86.760893184727777</v>
      </c>
    </row>
    <row r="190" spans="1:10" x14ac:dyDescent="0.2">
      <c r="A190" s="1">
        <v>44890</v>
      </c>
      <c r="B190">
        <v>87.25</v>
      </c>
      <c r="C190">
        <v>88.989998</v>
      </c>
      <c r="D190">
        <v>82</v>
      </c>
      <c r="E190">
        <v>86.489998</v>
      </c>
      <c r="F190">
        <f t="shared" si="14"/>
        <v>79.269333466666666</v>
      </c>
      <c r="G190">
        <f t="shared" si="10"/>
        <v>86.615000000000009</v>
      </c>
      <c r="H190">
        <f t="shared" si="12"/>
        <v>86.458000400000017</v>
      </c>
      <c r="I190">
        <f t="shared" si="11"/>
        <v>86.771999600000015</v>
      </c>
      <c r="J190">
        <f t="shared" si="13"/>
        <v>86.652535110836666</v>
      </c>
    </row>
    <row r="191" spans="1:10" x14ac:dyDescent="0.2">
      <c r="A191" s="1">
        <v>44893</v>
      </c>
      <c r="B191">
        <v>86.419998000000007</v>
      </c>
      <c r="C191">
        <v>87.419998000000007</v>
      </c>
      <c r="D191">
        <v>83.709998999999996</v>
      </c>
      <c r="E191">
        <v>83.709998999999996</v>
      </c>
      <c r="F191">
        <f t="shared" si="14"/>
        <v>79.70400016666666</v>
      </c>
      <c r="G191">
        <f t="shared" si="10"/>
        <v>86.147499249999996</v>
      </c>
      <c r="H191">
        <f t="shared" si="12"/>
        <v>86.684999300000001</v>
      </c>
      <c r="I191">
        <f t="shared" si="11"/>
        <v>85.609999200000004</v>
      </c>
      <c r="J191">
        <f t="shared" si="13"/>
        <v>85.475520666501993</v>
      </c>
    </row>
    <row r="192" spans="1:10" x14ac:dyDescent="0.2">
      <c r="A192" s="1">
        <v>44894</v>
      </c>
      <c r="B192">
        <v>84</v>
      </c>
      <c r="C192">
        <v>85</v>
      </c>
      <c r="D192">
        <v>81.209998999999996</v>
      </c>
      <c r="E192">
        <v>82</v>
      </c>
      <c r="F192">
        <f t="shared" si="14"/>
        <v>80.102000233333314</v>
      </c>
      <c r="G192">
        <f t="shared" si="10"/>
        <v>84.899999749999992</v>
      </c>
      <c r="H192">
        <f t="shared" si="12"/>
        <v>85.849000000000004</v>
      </c>
      <c r="I192">
        <f t="shared" si="11"/>
        <v>83.950999500000009</v>
      </c>
      <c r="J192">
        <f t="shared" si="13"/>
        <v>84.085312399901198</v>
      </c>
    </row>
    <row r="193" spans="1:10" x14ac:dyDescent="0.2">
      <c r="A193" s="1">
        <v>44895</v>
      </c>
      <c r="B193">
        <v>81.809997999999993</v>
      </c>
      <c r="C193">
        <v>82.269997000000004</v>
      </c>
      <c r="D193">
        <v>78.620002999999997</v>
      </c>
      <c r="E193">
        <v>81.870002999999997</v>
      </c>
      <c r="F193">
        <f t="shared" si="14"/>
        <v>80.397666999999998</v>
      </c>
      <c r="G193">
        <f t="shared" si="10"/>
        <v>83.517499999999998</v>
      </c>
      <c r="H193">
        <f t="shared" si="12"/>
        <v>84.295999199999997</v>
      </c>
      <c r="I193">
        <f t="shared" si="11"/>
        <v>82.739000800000014</v>
      </c>
      <c r="J193">
        <f t="shared" si="13"/>
        <v>83.199188639940715</v>
      </c>
    </row>
    <row r="194" spans="1:10" x14ac:dyDescent="0.2">
      <c r="A194" s="1">
        <v>44896</v>
      </c>
      <c r="B194">
        <v>82.230002999999996</v>
      </c>
      <c r="C194">
        <v>82.849997999999999</v>
      </c>
      <c r="D194">
        <v>80.699996999999996</v>
      </c>
      <c r="E194">
        <v>82.25</v>
      </c>
      <c r="F194">
        <f t="shared" si="14"/>
        <v>80.741666999999993</v>
      </c>
      <c r="G194">
        <f t="shared" si="10"/>
        <v>82.457500499999995</v>
      </c>
      <c r="H194">
        <f t="shared" si="12"/>
        <v>82.683000199999995</v>
      </c>
      <c r="I194">
        <f t="shared" si="11"/>
        <v>82.232000800000009</v>
      </c>
      <c r="J194">
        <f t="shared" si="13"/>
        <v>82.819513183964432</v>
      </c>
    </row>
    <row r="195" spans="1:10" x14ac:dyDescent="0.2">
      <c r="A195" s="1">
        <v>44897</v>
      </c>
      <c r="B195">
        <v>82.239998</v>
      </c>
      <c r="C195">
        <v>83.940002000000007</v>
      </c>
      <c r="D195">
        <v>81.309997999999993</v>
      </c>
      <c r="E195">
        <v>83.089995999999999</v>
      </c>
      <c r="F195">
        <f t="shared" si="14"/>
        <v>81.176666833333329</v>
      </c>
      <c r="G195">
        <f t="shared" si="10"/>
        <v>82.302499749999996</v>
      </c>
      <c r="H195">
        <f t="shared" si="12"/>
        <v>82.120000500000003</v>
      </c>
      <c r="I195">
        <f t="shared" si="11"/>
        <v>82.484999000000002</v>
      </c>
      <c r="J195">
        <f t="shared" si="13"/>
        <v>82.927706310378653</v>
      </c>
    </row>
    <row r="196" spans="1:10" x14ac:dyDescent="0.2">
      <c r="A196" s="1">
        <v>44900</v>
      </c>
      <c r="B196">
        <v>83.25</v>
      </c>
      <c r="C196">
        <v>84.989998</v>
      </c>
      <c r="D196">
        <v>82.050003000000004</v>
      </c>
      <c r="E196">
        <v>83.580001999999993</v>
      </c>
      <c r="F196">
        <f t="shared" si="14"/>
        <v>81.612666899999994</v>
      </c>
      <c r="G196">
        <f t="shared" si="10"/>
        <v>82.69750024999999</v>
      </c>
      <c r="H196">
        <f t="shared" si="12"/>
        <v>82.399000599999994</v>
      </c>
      <c r="I196">
        <f t="shared" si="11"/>
        <v>82.995999900000001</v>
      </c>
      <c r="J196">
        <f t="shared" si="13"/>
        <v>83.188624586227178</v>
      </c>
    </row>
    <row r="197" spans="1:10" x14ac:dyDescent="0.2">
      <c r="A197" s="1">
        <v>44901</v>
      </c>
      <c r="B197">
        <v>83.349997999999999</v>
      </c>
      <c r="C197">
        <v>85.260002</v>
      </c>
      <c r="D197">
        <v>81.790001000000004</v>
      </c>
      <c r="E197">
        <v>82.050003000000004</v>
      </c>
      <c r="F197">
        <f t="shared" si="14"/>
        <v>81.954333566666662</v>
      </c>
      <c r="G197">
        <f t="shared" si="10"/>
        <v>82.742500249999992</v>
      </c>
      <c r="H197">
        <f t="shared" si="12"/>
        <v>82.747999499999992</v>
      </c>
      <c r="I197">
        <f t="shared" si="11"/>
        <v>82.737000999999992</v>
      </c>
      <c r="J197">
        <f t="shared" si="13"/>
        <v>82.733175951736314</v>
      </c>
    </row>
    <row r="198" spans="1:10" x14ac:dyDescent="0.2">
      <c r="A198" s="1">
        <v>44902</v>
      </c>
      <c r="B198">
        <v>82.400002000000001</v>
      </c>
      <c r="C198">
        <v>85.419998000000007</v>
      </c>
      <c r="D198">
        <v>82.25</v>
      </c>
      <c r="E198">
        <v>83.370002999999997</v>
      </c>
      <c r="F198">
        <f t="shared" si="14"/>
        <v>82.287666899999991</v>
      </c>
      <c r="G198">
        <f t="shared" ref="G198:G253" si="15">AVERAGE(E195:E198)</f>
        <v>83.022501000000005</v>
      </c>
      <c r="H198">
        <f t="shared" si="12"/>
        <v>83.056999900000008</v>
      </c>
      <c r="I198">
        <f t="shared" ref="I198:I254" si="16">SUMPRODUCT(E195:E198,$L$2:$L$5)</f>
        <v>82.988002100000003</v>
      </c>
      <c r="J198">
        <f t="shared" si="13"/>
        <v>82.987906771041793</v>
      </c>
    </row>
    <row r="199" spans="1:10" x14ac:dyDescent="0.2">
      <c r="A199" s="1">
        <v>44903</v>
      </c>
      <c r="B199">
        <v>83.489998</v>
      </c>
      <c r="C199">
        <v>87.650002000000001</v>
      </c>
      <c r="D199">
        <v>83.480002999999996</v>
      </c>
      <c r="E199">
        <v>85.660004000000001</v>
      </c>
      <c r="F199">
        <f t="shared" si="14"/>
        <v>82.635666999999984</v>
      </c>
      <c r="G199">
        <f t="shared" si="15"/>
        <v>83.665002999999999</v>
      </c>
      <c r="H199">
        <f t="shared" ref="H199:H254" si="17">SUMPRODUCT(E196:E199,$K$2:$K$5)</f>
        <v>83.287002700000016</v>
      </c>
      <c r="I199">
        <f t="shared" si="16"/>
        <v>84.043003300000009</v>
      </c>
      <c r="J199">
        <f t="shared" ref="J199:J254" si="18">$L$7*E199+(1-$L$7)*J198</f>
        <v>84.056745662625076</v>
      </c>
    </row>
    <row r="200" spans="1:10" x14ac:dyDescent="0.2">
      <c r="A200" s="1">
        <v>44904</v>
      </c>
      <c r="B200">
        <v>84.790001000000004</v>
      </c>
      <c r="C200">
        <v>86.760002</v>
      </c>
      <c r="D200">
        <v>84.110000999999997</v>
      </c>
      <c r="E200">
        <v>85.790001000000004</v>
      </c>
      <c r="F200">
        <f t="shared" si="14"/>
        <v>83.008667099999982</v>
      </c>
      <c r="G200">
        <f t="shared" si="15"/>
        <v>84.217502750000008</v>
      </c>
      <c r="H200">
        <f t="shared" si="17"/>
        <v>83.542003000000008</v>
      </c>
      <c r="I200">
        <f t="shared" si="16"/>
        <v>84.893002499999994</v>
      </c>
      <c r="J200">
        <f t="shared" si="18"/>
        <v>84.750047797575036</v>
      </c>
    </row>
    <row r="201" spans="1:10" x14ac:dyDescent="0.2">
      <c r="A201" s="1">
        <v>44908</v>
      </c>
      <c r="B201">
        <v>86.099997999999999</v>
      </c>
      <c r="C201">
        <v>88.959998999999996</v>
      </c>
      <c r="D201">
        <v>85.800003000000004</v>
      </c>
      <c r="E201">
        <v>86.980002999999996</v>
      </c>
      <c r="F201">
        <f t="shared" si="14"/>
        <v>83.414667100000003</v>
      </c>
      <c r="G201">
        <f t="shared" si="15"/>
        <v>85.45000275000001</v>
      </c>
      <c r="H201">
        <f t="shared" si="17"/>
        <v>84.902002900000014</v>
      </c>
      <c r="I201">
        <f t="shared" si="16"/>
        <v>85.998002600000007</v>
      </c>
      <c r="J201">
        <f t="shared" si="18"/>
        <v>85.642029878545031</v>
      </c>
    </row>
    <row r="202" spans="1:10" x14ac:dyDescent="0.2">
      <c r="A202" s="1">
        <v>44909</v>
      </c>
      <c r="B202">
        <v>87.150002000000001</v>
      </c>
      <c r="C202">
        <v>87.959998999999996</v>
      </c>
      <c r="D202">
        <v>84.199996999999996</v>
      </c>
      <c r="E202">
        <v>86.080001999999993</v>
      </c>
      <c r="F202">
        <f t="shared" si="14"/>
        <v>83.736333833333319</v>
      </c>
      <c r="G202">
        <f t="shared" si="15"/>
        <v>86.127502499999991</v>
      </c>
      <c r="H202">
        <f t="shared" si="17"/>
        <v>86.005002700000006</v>
      </c>
      <c r="I202">
        <f t="shared" si="16"/>
        <v>86.250002300000006</v>
      </c>
      <c r="J202">
        <f t="shared" si="18"/>
        <v>85.817218727127013</v>
      </c>
    </row>
    <row r="203" spans="1:10" x14ac:dyDescent="0.2">
      <c r="A203" s="1">
        <v>44910</v>
      </c>
      <c r="B203">
        <v>85.589995999999999</v>
      </c>
      <c r="C203">
        <v>85.900002000000001</v>
      </c>
      <c r="D203">
        <v>84.110000999999997</v>
      </c>
      <c r="E203">
        <v>84.419998000000007</v>
      </c>
      <c r="F203">
        <f t="shared" si="14"/>
        <v>83.990000499999994</v>
      </c>
      <c r="G203">
        <f t="shared" si="15"/>
        <v>85.817501000000007</v>
      </c>
      <c r="H203">
        <f t="shared" si="17"/>
        <v>86.068001500000008</v>
      </c>
      <c r="I203">
        <f t="shared" si="16"/>
        <v>85.567000500000006</v>
      </c>
      <c r="J203">
        <f t="shared" si="18"/>
        <v>85.258330436276211</v>
      </c>
    </row>
    <row r="204" spans="1:10" x14ac:dyDescent="0.2">
      <c r="A204" s="1">
        <v>44911</v>
      </c>
      <c r="B204">
        <v>84.970000999999996</v>
      </c>
      <c r="C204">
        <v>86.330001999999993</v>
      </c>
      <c r="D204">
        <v>83.610000999999997</v>
      </c>
      <c r="E204">
        <v>85.279999000000004</v>
      </c>
      <c r="F204">
        <f t="shared" si="14"/>
        <v>84.102667066666669</v>
      </c>
      <c r="G204">
        <f t="shared" si="15"/>
        <v>85.690000499999996</v>
      </c>
      <c r="H204">
        <f t="shared" si="17"/>
        <v>86.0280013</v>
      </c>
      <c r="I204">
        <f t="shared" si="16"/>
        <v>85.351999700000007</v>
      </c>
      <c r="J204">
        <f t="shared" si="18"/>
        <v>85.266997861765731</v>
      </c>
    </row>
    <row r="205" spans="1:10" x14ac:dyDescent="0.2">
      <c r="A205" s="1">
        <v>44914</v>
      </c>
      <c r="B205">
        <v>85.760002</v>
      </c>
      <c r="C205">
        <v>87</v>
      </c>
      <c r="D205">
        <v>85.040001000000004</v>
      </c>
      <c r="E205">
        <v>86.480002999999996</v>
      </c>
      <c r="F205">
        <f t="shared" si="14"/>
        <v>84.333000499999997</v>
      </c>
      <c r="G205">
        <f t="shared" si="15"/>
        <v>85.565000499999996</v>
      </c>
      <c r="H205">
        <f t="shared" si="17"/>
        <v>85.4620003</v>
      </c>
      <c r="I205">
        <f t="shared" si="16"/>
        <v>85.668000700000007</v>
      </c>
      <c r="J205">
        <f t="shared" si="18"/>
        <v>85.752199917059443</v>
      </c>
    </row>
    <row r="206" spans="1:10" x14ac:dyDescent="0.2">
      <c r="A206" s="1">
        <v>44915</v>
      </c>
      <c r="B206">
        <v>86.5</v>
      </c>
      <c r="C206">
        <v>87.410004000000001</v>
      </c>
      <c r="D206">
        <v>84.800003000000004</v>
      </c>
      <c r="E206">
        <v>85.760002</v>
      </c>
      <c r="F206">
        <f t="shared" si="14"/>
        <v>84.489333900000005</v>
      </c>
      <c r="G206">
        <f t="shared" si="15"/>
        <v>85.485000499999998</v>
      </c>
      <c r="H206">
        <f t="shared" si="17"/>
        <v>85.223999700000007</v>
      </c>
      <c r="I206">
        <f t="shared" si="16"/>
        <v>85.746001300000017</v>
      </c>
      <c r="J206">
        <f t="shared" si="18"/>
        <v>85.755320750235668</v>
      </c>
    </row>
    <row r="207" spans="1:10" x14ac:dyDescent="0.2">
      <c r="A207" s="1">
        <v>44916</v>
      </c>
      <c r="B207">
        <v>85.690002000000007</v>
      </c>
      <c r="C207">
        <v>86.900002000000001</v>
      </c>
      <c r="D207">
        <v>85.290001000000004</v>
      </c>
      <c r="E207">
        <v>86.519997000000004</v>
      </c>
      <c r="F207">
        <f t="shared" si="14"/>
        <v>84.698000399999984</v>
      </c>
      <c r="G207">
        <f t="shared" si="15"/>
        <v>86.01000024999999</v>
      </c>
      <c r="H207">
        <f t="shared" si="17"/>
        <v>85.860000600000021</v>
      </c>
      <c r="I207">
        <f t="shared" si="16"/>
        <v>86.159999900000003</v>
      </c>
      <c r="J207">
        <f t="shared" si="18"/>
        <v>86.061191250141405</v>
      </c>
    </row>
    <row r="208" spans="1:10" x14ac:dyDescent="0.2">
      <c r="A208" s="1">
        <v>44917</v>
      </c>
      <c r="B208">
        <v>86.57</v>
      </c>
      <c r="C208">
        <v>86.889999000000003</v>
      </c>
      <c r="D208">
        <v>84.220000999999996</v>
      </c>
      <c r="E208">
        <v>85.669998000000007</v>
      </c>
      <c r="F208">
        <f t="shared" si="14"/>
        <v>84.835000399999984</v>
      </c>
      <c r="G208">
        <f t="shared" si="15"/>
        <v>86.107500000000002</v>
      </c>
      <c r="H208">
        <f t="shared" si="17"/>
        <v>86.191001000000014</v>
      </c>
      <c r="I208">
        <f t="shared" si="16"/>
        <v>86.023999000000003</v>
      </c>
      <c r="J208">
        <f t="shared" si="18"/>
        <v>85.90471395008484</v>
      </c>
    </row>
    <row r="209" spans="1:10" x14ac:dyDescent="0.2">
      <c r="A209" s="1">
        <v>44918</v>
      </c>
      <c r="B209">
        <v>85.510002</v>
      </c>
      <c r="C209">
        <v>86.57</v>
      </c>
      <c r="D209">
        <v>85.089995999999999</v>
      </c>
      <c r="E209">
        <v>86.089995999999999</v>
      </c>
      <c r="F209">
        <f t="shared" si="14"/>
        <v>84.985666933333334</v>
      </c>
      <c r="G209">
        <f t="shared" si="15"/>
        <v>86.009998249999995</v>
      </c>
      <c r="H209">
        <f t="shared" si="17"/>
        <v>86.002999100000011</v>
      </c>
      <c r="I209">
        <f t="shared" si="16"/>
        <v>86.016997400000008</v>
      </c>
      <c r="J209">
        <f t="shared" si="18"/>
        <v>85.978826770050915</v>
      </c>
    </row>
    <row r="210" spans="1:10" x14ac:dyDescent="0.2">
      <c r="A210" s="1">
        <v>44921</v>
      </c>
      <c r="B210">
        <v>85.949996999999996</v>
      </c>
      <c r="C210">
        <v>87.150002000000001</v>
      </c>
      <c r="D210">
        <v>85.519997000000004</v>
      </c>
      <c r="E210">
        <v>85.739998</v>
      </c>
      <c r="F210">
        <f t="shared" si="14"/>
        <v>85.081000299999985</v>
      </c>
      <c r="G210">
        <f t="shared" si="15"/>
        <v>86.004997250000002</v>
      </c>
      <c r="H210">
        <f t="shared" si="17"/>
        <v>86.100997199999995</v>
      </c>
      <c r="I210">
        <f t="shared" si="16"/>
        <v>85.90899730000001</v>
      </c>
      <c r="J210">
        <f t="shared" si="18"/>
        <v>85.883295262030543</v>
      </c>
    </row>
    <row r="211" spans="1:10" x14ac:dyDescent="0.2">
      <c r="A211" s="1">
        <v>44922</v>
      </c>
      <c r="B211">
        <v>86</v>
      </c>
      <c r="C211">
        <v>88.110000999999997</v>
      </c>
      <c r="D211">
        <v>85.860000999999997</v>
      </c>
      <c r="E211">
        <v>86.739998</v>
      </c>
      <c r="F211">
        <f t="shared" si="14"/>
        <v>85.189333633333334</v>
      </c>
      <c r="G211">
        <f t="shared" si="15"/>
        <v>86.059997500000009</v>
      </c>
      <c r="H211">
        <f t="shared" si="17"/>
        <v>85.916997400000014</v>
      </c>
      <c r="I211">
        <f t="shared" si="16"/>
        <v>86.202997600000003</v>
      </c>
      <c r="J211">
        <f t="shared" si="18"/>
        <v>86.225976357218329</v>
      </c>
    </row>
    <row r="212" spans="1:10" x14ac:dyDescent="0.2">
      <c r="A212" s="1">
        <v>44923</v>
      </c>
      <c r="B212">
        <v>86.849997999999999</v>
      </c>
      <c r="C212">
        <v>86.849997999999999</v>
      </c>
      <c r="D212">
        <v>84.910004000000001</v>
      </c>
      <c r="E212">
        <v>85.610000999999997</v>
      </c>
      <c r="F212">
        <f t="shared" si="14"/>
        <v>85.185333566666671</v>
      </c>
      <c r="G212">
        <f t="shared" si="15"/>
        <v>86.044998250000006</v>
      </c>
      <c r="H212">
        <f t="shared" si="17"/>
        <v>86.066997500000014</v>
      </c>
      <c r="I212">
        <f t="shared" si="16"/>
        <v>86.022998999999999</v>
      </c>
      <c r="J212">
        <f t="shared" si="18"/>
        <v>85.979586214330993</v>
      </c>
    </row>
    <row r="213" spans="1:10" x14ac:dyDescent="0.2">
      <c r="A213" s="1">
        <v>44924</v>
      </c>
      <c r="B213">
        <v>85.660004000000001</v>
      </c>
      <c r="C213">
        <v>87.519997000000004</v>
      </c>
      <c r="D213">
        <v>83.830001999999993</v>
      </c>
      <c r="E213">
        <v>84.120002999999997</v>
      </c>
      <c r="F213">
        <f t="shared" si="14"/>
        <v>85.137000333333347</v>
      </c>
      <c r="G213">
        <f t="shared" si="15"/>
        <v>85.552499999999995</v>
      </c>
      <c r="H213">
        <f t="shared" si="17"/>
        <v>85.851999100000015</v>
      </c>
      <c r="I213">
        <f t="shared" si="16"/>
        <v>85.253000900000018</v>
      </c>
      <c r="J213">
        <f t="shared" si="18"/>
        <v>85.2357529285986</v>
      </c>
    </row>
    <row r="214" spans="1:10" x14ac:dyDescent="0.2">
      <c r="A214" s="1">
        <v>44925</v>
      </c>
      <c r="B214">
        <v>84.5</v>
      </c>
      <c r="C214">
        <v>85.160004000000001</v>
      </c>
      <c r="D214">
        <v>81.849997999999999</v>
      </c>
      <c r="E214">
        <v>82.300003000000004</v>
      </c>
      <c r="F214">
        <f t="shared" si="14"/>
        <v>85.016666966666676</v>
      </c>
      <c r="G214">
        <f t="shared" si="15"/>
        <v>84.692501250000007</v>
      </c>
      <c r="H214">
        <f t="shared" si="17"/>
        <v>85.433000400000012</v>
      </c>
      <c r="I214">
        <f t="shared" si="16"/>
        <v>83.952002100000001</v>
      </c>
      <c r="J214">
        <f t="shared" si="18"/>
        <v>84.061452957159162</v>
      </c>
    </row>
    <row r="215" spans="1:10" x14ac:dyDescent="0.2">
      <c r="A215" s="1">
        <v>44928</v>
      </c>
      <c r="B215">
        <v>82.5</v>
      </c>
      <c r="C215">
        <v>85.400002000000001</v>
      </c>
      <c r="D215">
        <v>82.5</v>
      </c>
      <c r="E215">
        <v>84.650002000000001</v>
      </c>
      <c r="F215">
        <f t="shared" si="14"/>
        <v>84.992333799999997</v>
      </c>
      <c r="G215">
        <f t="shared" si="15"/>
        <v>84.17000225000001</v>
      </c>
      <c r="H215">
        <f t="shared" si="17"/>
        <v>84.405002100000004</v>
      </c>
      <c r="I215">
        <f t="shared" si="16"/>
        <v>83.935002400000002</v>
      </c>
      <c r="J215">
        <f t="shared" si="18"/>
        <v>84.296872574295492</v>
      </c>
    </row>
    <row r="216" spans="1:10" x14ac:dyDescent="0.2">
      <c r="A216" s="1">
        <v>44929</v>
      </c>
      <c r="B216">
        <v>84.650002000000001</v>
      </c>
      <c r="C216">
        <v>85.040001000000004</v>
      </c>
      <c r="D216">
        <v>83.760002</v>
      </c>
      <c r="E216">
        <v>84.510002</v>
      </c>
      <c r="F216">
        <f t="shared" si="14"/>
        <v>84.892667199999991</v>
      </c>
      <c r="G216">
        <f t="shared" si="15"/>
        <v>83.895002500000004</v>
      </c>
      <c r="H216">
        <f t="shared" si="17"/>
        <v>83.719002700000004</v>
      </c>
      <c r="I216">
        <f t="shared" si="16"/>
        <v>84.071002300000004</v>
      </c>
      <c r="J216">
        <f t="shared" si="18"/>
        <v>84.382124344577306</v>
      </c>
    </row>
    <row r="217" spans="1:10" x14ac:dyDescent="0.2">
      <c r="A217" s="1">
        <v>44930</v>
      </c>
      <c r="B217">
        <v>84.980002999999996</v>
      </c>
      <c r="C217">
        <v>87.150002000000001</v>
      </c>
      <c r="D217">
        <v>84.970000999999996</v>
      </c>
      <c r="E217">
        <v>85.889999000000003</v>
      </c>
      <c r="F217">
        <f t="shared" si="14"/>
        <v>84.903000433333318</v>
      </c>
      <c r="G217">
        <f t="shared" si="15"/>
        <v>84.337501500000002</v>
      </c>
      <c r="H217">
        <f t="shared" si="17"/>
        <v>83.806002100000015</v>
      </c>
      <c r="I217">
        <f t="shared" si="16"/>
        <v>84.869000900000003</v>
      </c>
      <c r="J217">
        <f t="shared" si="18"/>
        <v>84.985274206746396</v>
      </c>
    </row>
    <row r="218" spans="1:10" x14ac:dyDescent="0.2">
      <c r="A218" s="1">
        <v>44931</v>
      </c>
      <c r="B218">
        <v>85.599997999999999</v>
      </c>
      <c r="C218">
        <v>89.239998</v>
      </c>
      <c r="D218">
        <v>85.599997999999999</v>
      </c>
      <c r="E218">
        <v>87.68</v>
      </c>
      <c r="F218">
        <f t="shared" si="14"/>
        <v>84.926000499999972</v>
      </c>
      <c r="G218">
        <f t="shared" si="15"/>
        <v>85.682500750000003</v>
      </c>
      <c r="H218">
        <f t="shared" si="17"/>
        <v>85.159001200000006</v>
      </c>
      <c r="I218">
        <f t="shared" si="16"/>
        <v>86.206000300000014</v>
      </c>
      <c r="J218">
        <f t="shared" si="18"/>
        <v>86.063164524047835</v>
      </c>
    </row>
    <row r="219" spans="1:10" x14ac:dyDescent="0.2">
      <c r="A219" s="1">
        <v>44932</v>
      </c>
      <c r="B219">
        <v>88.860000999999997</v>
      </c>
      <c r="C219">
        <v>89.5</v>
      </c>
      <c r="D219">
        <v>85.800003000000004</v>
      </c>
      <c r="E219">
        <v>88.120002999999997</v>
      </c>
      <c r="F219">
        <f t="shared" si="14"/>
        <v>84.950000533333338</v>
      </c>
      <c r="G219">
        <f t="shared" si="15"/>
        <v>86.550001000000009</v>
      </c>
      <c r="H219">
        <f t="shared" si="17"/>
        <v>85.919000800000006</v>
      </c>
      <c r="I219">
        <f t="shared" si="16"/>
        <v>87.181001199999997</v>
      </c>
      <c r="J219">
        <f t="shared" si="18"/>
        <v>86.885899914428705</v>
      </c>
    </row>
    <row r="220" spans="1:10" x14ac:dyDescent="0.2">
      <c r="A220" s="1">
        <v>44935</v>
      </c>
      <c r="B220">
        <v>88.449996999999996</v>
      </c>
      <c r="C220">
        <v>90.720000999999996</v>
      </c>
      <c r="D220">
        <v>87.699996999999996</v>
      </c>
      <c r="E220">
        <v>90.489998</v>
      </c>
      <c r="F220">
        <f t="shared" si="14"/>
        <v>85.083333866666663</v>
      </c>
      <c r="G220">
        <f t="shared" si="15"/>
        <v>88.045000000000002</v>
      </c>
      <c r="H220">
        <f t="shared" si="17"/>
        <v>87.333000000000013</v>
      </c>
      <c r="I220">
        <f t="shared" si="16"/>
        <v>88.757000000000005</v>
      </c>
      <c r="J220">
        <f t="shared" si="18"/>
        <v>88.327539148657223</v>
      </c>
    </row>
    <row r="221" spans="1:10" x14ac:dyDescent="0.2">
      <c r="A221" s="1">
        <v>44936</v>
      </c>
      <c r="B221">
        <v>90.169998000000007</v>
      </c>
      <c r="C221">
        <v>91.160004000000001</v>
      </c>
      <c r="D221">
        <v>89.300003000000004</v>
      </c>
      <c r="E221">
        <v>90.300003000000004</v>
      </c>
      <c r="F221">
        <f t="shared" si="14"/>
        <v>85.303000666666648</v>
      </c>
      <c r="G221">
        <f t="shared" si="15"/>
        <v>89.147501000000005</v>
      </c>
      <c r="H221">
        <f t="shared" si="17"/>
        <v>88.636000800000005</v>
      </c>
      <c r="I221">
        <f t="shared" si="16"/>
        <v>89.659001200000006</v>
      </c>
      <c r="J221">
        <f t="shared" si="18"/>
        <v>89.116524689194335</v>
      </c>
    </row>
    <row r="222" spans="1:10" x14ac:dyDescent="0.2">
      <c r="A222" s="1">
        <v>44937</v>
      </c>
      <c r="B222">
        <v>90.790001000000004</v>
      </c>
      <c r="C222">
        <v>92.580001999999993</v>
      </c>
      <c r="D222">
        <v>89.730002999999996</v>
      </c>
      <c r="E222">
        <v>90.449996999999996</v>
      </c>
      <c r="F222">
        <f t="shared" si="14"/>
        <v>85.584667233333349</v>
      </c>
      <c r="G222">
        <f t="shared" si="15"/>
        <v>89.840000250000003</v>
      </c>
      <c r="H222">
        <f t="shared" si="17"/>
        <v>89.500000900000003</v>
      </c>
      <c r="I222">
        <f t="shared" si="16"/>
        <v>90.179999600000002</v>
      </c>
      <c r="J222">
        <f t="shared" si="18"/>
        <v>89.649913613516603</v>
      </c>
    </row>
    <row r="223" spans="1:10" x14ac:dyDescent="0.2">
      <c r="A223" s="1">
        <v>44938</v>
      </c>
      <c r="B223">
        <v>90.800003000000004</v>
      </c>
      <c r="C223">
        <v>92.25</v>
      </c>
      <c r="D223">
        <v>90.559997999999993</v>
      </c>
      <c r="E223">
        <v>91.400002000000001</v>
      </c>
      <c r="F223">
        <f t="shared" si="14"/>
        <v>85.902333866666666</v>
      </c>
      <c r="G223">
        <f t="shared" si="15"/>
        <v>90.66</v>
      </c>
      <c r="H223">
        <f t="shared" si="17"/>
        <v>90.515999700000009</v>
      </c>
      <c r="I223">
        <f t="shared" si="16"/>
        <v>90.804000300000013</v>
      </c>
      <c r="J223">
        <f t="shared" si="18"/>
        <v>90.34994896810997</v>
      </c>
    </row>
    <row r="224" spans="1:10" x14ac:dyDescent="0.2">
      <c r="A224" s="1">
        <v>44939</v>
      </c>
      <c r="B224">
        <v>91.449996999999996</v>
      </c>
      <c r="C224">
        <v>91.989998</v>
      </c>
      <c r="D224">
        <v>90.300003000000004</v>
      </c>
      <c r="E224">
        <v>91.230002999999996</v>
      </c>
      <c r="F224">
        <f t="shared" ref="F224:F254" si="19">AVERAGE(E195:E224)</f>
        <v>86.201667300000011</v>
      </c>
      <c r="G224">
        <f t="shared" si="15"/>
        <v>90.845001249999996</v>
      </c>
      <c r="H224">
        <f t="shared" si="17"/>
        <v>90.658001000000013</v>
      </c>
      <c r="I224">
        <f t="shared" si="16"/>
        <v>91.032001500000007</v>
      </c>
      <c r="J224">
        <f t="shared" si="18"/>
        <v>90.701970580865975</v>
      </c>
    </row>
    <row r="225" spans="1:10" x14ac:dyDescent="0.2">
      <c r="A225" s="1">
        <v>44942</v>
      </c>
      <c r="B225">
        <v>90.580001999999993</v>
      </c>
      <c r="C225">
        <v>93.620002999999997</v>
      </c>
      <c r="D225">
        <v>90.580001999999993</v>
      </c>
      <c r="E225">
        <v>92.639999000000003</v>
      </c>
      <c r="F225">
        <f t="shared" si="19"/>
        <v>86.520000733333333</v>
      </c>
      <c r="G225">
        <f t="shared" si="15"/>
        <v>91.430000249999992</v>
      </c>
      <c r="H225">
        <f t="shared" si="17"/>
        <v>91.109999900000005</v>
      </c>
      <c r="I225">
        <f t="shared" si="16"/>
        <v>91.750000600000007</v>
      </c>
      <c r="J225">
        <f t="shared" si="18"/>
        <v>91.477181948519586</v>
      </c>
    </row>
    <row r="226" spans="1:10" x14ac:dyDescent="0.2">
      <c r="A226" s="1">
        <v>44943</v>
      </c>
      <c r="B226">
        <v>93.32</v>
      </c>
      <c r="C226">
        <v>93.32</v>
      </c>
      <c r="D226">
        <v>90.709998999999996</v>
      </c>
      <c r="E226">
        <v>91.860000999999997</v>
      </c>
      <c r="F226">
        <f t="shared" si="19"/>
        <v>86.796000699999993</v>
      </c>
      <c r="G226">
        <f t="shared" si="15"/>
        <v>91.782501249999996</v>
      </c>
      <c r="H226">
        <f t="shared" si="17"/>
        <v>91.643001600000005</v>
      </c>
      <c r="I226">
        <f t="shared" si="16"/>
        <v>91.9220009</v>
      </c>
      <c r="J226">
        <f t="shared" si="18"/>
        <v>91.630309569111745</v>
      </c>
    </row>
    <row r="227" spans="1:10" x14ac:dyDescent="0.2">
      <c r="A227" s="1">
        <v>44944</v>
      </c>
      <c r="B227">
        <v>92.220000999999996</v>
      </c>
      <c r="C227">
        <v>93.209998999999996</v>
      </c>
      <c r="D227">
        <v>91.410004000000001</v>
      </c>
      <c r="E227">
        <v>91.800003000000004</v>
      </c>
      <c r="F227">
        <f t="shared" si="19"/>
        <v>87.121000699999996</v>
      </c>
      <c r="G227">
        <f t="shared" si="15"/>
        <v>91.882501500000004</v>
      </c>
      <c r="H227">
        <f t="shared" si="17"/>
        <v>91.836001400000001</v>
      </c>
      <c r="I227">
        <f t="shared" si="16"/>
        <v>91.929001600000007</v>
      </c>
      <c r="J227">
        <f t="shared" si="18"/>
        <v>91.698186941467043</v>
      </c>
    </row>
    <row r="228" spans="1:10" x14ac:dyDescent="0.2">
      <c r="A228" s="1">
        <v>44945</v>
      </c>
      <c r="B228">
        <v>91.93</v>
      </c>
      <c r="C228">
        <v>93.93</v>
      </c>
      <c r="D228">
        <v>91.879997000000003</v>
      </c>
      <c r="E228">
        <v>92.290001000000004</v>
      </c>
      <c r="F228">
        <f t="shared" si="19"/>
        <v>87.418333966666665</v>
      </c>
      <c r="G228">
        <f t="shared" si="15"/>
        <v>92.147501000000005</v>
      </c>
      <c r="H228">
        <f t="shared" si="17"/>
        <v>92.203000600000024</v>
      </c>
      <c r="I228">
        <f t="shared" si="16"/>
        <v>92.092001400000001</v>
      </c>
      <c r="J228">
        <f t="shared" si="18"/>
        <v>91.934912564880221</v>
      </c>
    </row>
    <row r="229" spans="1:10" x14ac:dyDescent="0.2">
      <c r="A229" s="1">
        <v>44946</v>
      </c>
      <c r="B229">
        <v>92.620002999999997</v>
      </c>
      <c r="C229">
        <v>98</v>
      </c>
      <c r="D229">
        <v>91.519997000000004</v>
      </c>
      <c r="E229">
        <v>92</v>
      </c>
      <c r="F229">
        <f t="shared" si="19"/>
        <v>87.629667166666664</v>
      </c>
      <c r="G229">
        <f t="shared" si="15"/>
        <v>91.987501250000008</v>
      </c>
      <c r="H229">
        <f t="shared" si="17"/>
        <v>91.942001500000003</v>
      </c>
      <c r="I229">
        <f t="shared" si="16"/>
        <v>92.033001000000013</v>
      </c>
      <c r="J229">
        <f t="shared" si="18"/>
        <v>91.960947538928139</v>
      </c>
    </row>
    <row r="230" spans="1:10" x14ac:dyDescent="0.2">
      <c r="A230" s="1">
        <v>44949</v>
      </c>
      <c r="B230">
        <v>92.139999000000003</v>
      </c>
      <c r="C230">
        <v>95.800003000000004</v>
      </c>
      <c r="D230">
        <v>91.849997999999999</v>
      </c>
      <c r="E230">
        <v>95.010002</v>
      </c>
      <c r="F230">
        <f t="shared" si="19"/>
        <v>87.937000533333332</v>
      </c>
      <c r="G230">
        <f t="shared" si="15"/>
        <v>92.775001500000002</v>
      </c>
      <c r="H230">
        <f t="shared" si="17"/>
        <v>92.308001700000005</v>
      </c>
      <c r="I230">
        <f t="shared" si="16"/>
        <v>93.242001300000013</v>
      </c>
      <c r="J230">
        <f t="shared" si="18"/>
        <v>93.180569323356877</v>
      </c>
    </row>
    <row r="231" spans="1:10" x14ac:dyDescent="0.2">
      <c r="A231" s="1">
        <v>44950</v>
      </c>
      <c r="B231">
        <v>95</v>
      </c>
      <c r="C231">
        <v>97.75</v>
      </c>
      <c r="D231">
        <v>95</v>
      </c>
      <c r="E231">
        <v>95.849997999999999</v>
      </c>
      <c r="F231">
        <f t="shared" si="19"/>
        <v>88.232667033333342</v>
      </c>
      <c r="G231">
        <f t="shared" si="15"/>
        <v>93.787500249999994</v>
      </c>
      <c r="H231">
        <f t="shared" si="17"/>
        <v>93.103000600000016</v>
      </c>
      <c r="I231">
        <f t="shared" si="16"/>
        <v>94.471999900000014</v>
      </c>
      <c r="J231">
        <f t="shared" si="18"/>
        <v>94.248340794014126</v>
      </c>
    </row>
    <row r="232" spans="1:10" x14ac:dyDescent="0.2">
      <c r="A232" s="1">
        <v>44951</v>
      </c>
      <c r="B232">
        <v>95.849997999999999</v>
      </c>
      <c r="C232">
        <v>96.639999000000003</v>
      </c>
      <c r="D232">
        <v>95.370002999999997</v>
      </c>
      <c r="E232">
        <v>95.790001000000004</v>
      </c>
      <c r="F232">
        <f t="shared" si="19"/>
        <v>88.55633366666666</v>
      </c>
      <c r="G232">
        <f t="shared" si="15"/>
        <v>94.662500250000008</v>
      </c>
      <c r="H232">
        <f t="shared" si="17"/>
        <v>94.052000300000003</v>
      </c>
      <c r="I232">
        <f t="shared" si="16"/>
        <v>95.273000200000013</v>
      </c>
      <c r="J232">
        <f t="shared" si="18"/>
        <v>94.865004876408477</v>
      </c>
    </row>
    <row r="233" spans="1:10" x14ac:dyDescent="0.2">
      <c r="A233" s="1">
        <v>44952</v>
      </c>
      <c r="B233">
        <v>96.25</v>
      </c>
      <c r="C233">
        <v>97.650002000000001</v>
      </c>
      <c r="D233">
        <v>95.199996999999996</v>
      </c>
      <c r="E233">
        <v>95.559997999999993</v>
      </c>
      <c r="F233">
        <f t="shared" si="19"/>
        <v>88.927667</v>
      </c>
      <c r="G233">
        <f t="shared" si="15"/>
        <v>95.55249975000001</v>
      </c>
      <c r="H233">
        <f t="shared" si="17"/>
        <v>95.473000200000001</v>
      </c>
      <c r="I233">
        <f t="shared" si="16"/>
        <v>95.631999300000018</v>
      </c>
      <c r="J233">
        <f t="shared" si="18"/>
        <v>95.143002125845086</v>
      </c>
    </row>
    <row r="234" spans="1:10" x14ac:dyDescent="0.2">
      <c r="A234" s="1">
        <v>44953</v>
      </c>
      <c r="B234">
        <v>96.099997999999999</v>
      </c>
      <c r="C234">
        <v>96.900002000000001</v>
      </c>
      <c r="D234">
        <v>94.300003000000004</v>
      </c>
      <c r="E234">
        <v>94.309997999999993</v>
      </c>
      <c r="F234">
        <f t="shared" si="19"/>
        <v>89.22866696666668</v>
      </c>
      <c r="G234">
        <f t="shared" si="15"/>
        <v>95.377498750000001</v>
      </c>
      <c r="H234">
        <f t="shared" si="17"/>
        <v>95.619998899999999</v>
      </c>
      <c r="I234">
        <f t="shared" si="16"/>
        <v>95.134998600000017</v>
      </c>
      <c r="J234">
        <f t="shared" si="18"/>
        <v>94.809800475507046</v>
      </c>
    </row>
    <row r="235" spans="1:10" x14ac:dyDescent="0.2">
      <c r="A235" s="1">
        <v>44956</v>
      </c>
      <c r="B235">
        <v>94.900002000000001</v>
      </c>
      <c r="C235">
        <v>95.349997999999999</v>
      </c>
      <c r="D235">
        <v>94</v>
      </c>
      <c r="E235">
        <v>94.18</v>
      </c>
      <c r="F235">
        <f t="shared" si="19"/>
        <v>89.485333533333332</v>
      </c>
      <c r="G235">
        <f t="shared" si="15"/>
        <v>94.959999249999996</v>
      </c>
      <c r="H235">
        <f t="shared" si="17"/>
        <v>95.263999400000017</v>
      </c>
      <c r="I235">
        <f t="shared" si="16"/>
        <v>94.655999100000002</v>
      </c>
      <c r="J235">
        <f t="shared" si="18"/>
        <v>94.557880285304236</v>
      </c>
    </row>
    <row r="236" spans="1:10" x14ac:dyDescent="0.2">
      <c r="A236" s="1">
        <v>44957</v>
      </c>
      <c r="B236">
        <v>94.480002999999996</v>
      </c>
      <c r="C236">
        <v>94.980002999999996</v>
      </c>
      <c r="D236">
        <v>93.010002</v>
      </c>
      <c r="E236">
        <v>93.489998</v>
      </c>
      <c r="F236">
        <f t="shared" si="19"/>
        <v>89.743000066666667</v>
      </c>
      <c r="G236">
        <f t="shared" si="15"/>
        <v>94.384998499999995</v>
      </c>
      <c r="H236">
        <f t="shared" si="17"/>
        <v>94.701998400000008</v>
      </c>
      <c r="I236">
        <f t="shared" si="16"/>
        <v>94.06799860000001</v>
      </c>
      <c r="J236">
        <f t="shared" si="18"/>
        <v>94.13072737118253</v>
      </c>
    </row>
    <row r="237" spans="1:10" x14ac:dyDescent="0.2">
      <c r="A237" s="1">
        <v>44958</v>
      </c>
      <c r="B237">
        <v>93.949996999999996</v>
      </c>
      <c r="C237">
        <v>94.639999000000003</v>
      </c>
      <c r="D237">
        <v>92.599997999999999</v>
      </c>
      <c r="E237">
        <v>94.059997999999993</v>
      </c>
      <c r="F237">
        <f t="shared" si="19"/>
        <v>89.994333433333352</v>
      </c>
      <c r="G237">
        <f t="shared" si="15"/>
        <v>94.009998500000009</v>
      </c>
      <c r="H237">
        <f t="shared" si="17"/>
        <v>94.081998600000006</v>
      </c>
      <c r="I237">
        <f t="shared" si="16"/>
        <v>93.937998399999998</v>
      </c>
      <c r="J237">
        <f t="shared" si="18"/>
        <v>94.102435622709521</v>
      </c>
    </row>
    <row r="238" spans="1:10" x14ac:dyDescent="0.2">
      <c r="A238" s="1">
        <v>44959</v>
      </c>
      <c r="B238">
        <v>94.5</v>
      </c>
      <c r="C238">
        <v>94.68</v>
      </c>
      <c r="D238">
        <v>92.489998</v>
      </c>
      <c r="E238">
        <v>93</v>
      </c>
      <c r="F238">
        <f t="shared" si="19"/>
        <v>90.23866683333334</v>
      </c>
      <c r="G238">
        <f t="shared" si="15"/>
        <v>93.682499000000007</v>
      </c>
      <c r="H238">
        <f t="shared" si="17"/>
        <v>93.830999000000006</v>
      </c>
      <c r="I238">
        <f t="shared" si="16"/>
        <v>93.533999000000009</v>
      </c>
      <c r="J238">
        <f t="shared" si="18"/>
        <v>93.661461373625713</v>
      </c>
    </row>
    <row r="239" spans="1:10" x14ac:dyDescent="0.2">
      <c r="A239" s="1">
        <v>44960</v>
      </c>
      <c r="B239">
        <v>92.949996999999996</v>
      </c>
      <c r="C239">
        <v>94</v>
      </c>
      <c r="D239">
        <v>92.529999000000004</v>
      </c>
      <c r="E239">
        <v>93.629997000000003</v>
      </c>
      <c r="F239">
        <f t="shared" si="19"/>
        <v>90.490000200000011</v>
      </c>
      <c r="G239">
        <f t="shared" si="15"/>
        <v>93.544998249999992</v>
      </c>
      <c r="H239">
        <f t="shared" si="17"/>
        <v>93.5769983</v>
      </c>
      <c r="I239">
        <f t="shared" si="16"/>
        <v>93.512998200000013</v>
      </c>
      <c r="J239">
        <f t="shared" si="18"/>
        <v>93.648875624175432</v>
      </c>
    </row>
    <row r="240" spans="1:10" x14ac:dyDescent="0.2">
      <c r="A240" s="1">
        <v>44964</v>
      </c>
      <c r="B240">
        <v>93.879997000000003</v>
      </c>
      <c r="C240">
        <v>94.650002000000001</v>
      </c>
      <c r="D240">
        <v>90.650002000000001</v>
      </c>
      <c r="E240">
        <v>91.209998999999996</v>
      </c>
      <c r="F240">
        <f t="shared" si="19"/>
        <v>90.672333566666694</v>
      </c>
      <c r="G240">
        <f t="shared" si="15"/>
        <v>92.974998499999998</v>
      </c>
      <c r="H240">
        <f t="shared" si="17"/>
        <v>93.370998500000013</v>
      </c>
      <c r="I240">
        <f t="shared" si="16"/>
        <v>92.578998500000012</v>
      </c>
      <c r="J240">
        <f t="shared" si="18"/>
        <v>92.673324974505249</v>
      </c>
    </row>
    <row r="241" spans="1:10" x14ac:dyDescent="0.2">
      <c r="A241" s="1">
        <v>44965</v>
      </c>
      <c r="B241">
        <v>91.389999000000003</v>
      </c>
      <c r="C241">
        <v>91.900002000000001</v>
      </c>
      <c r="D241">
        <v>89.040001000000004</v>
      </c>
      <c r="E241">
        <v>90.739998</v>
      </c>
      <c r="F241">
        <f t="shared" si="19"/>
        <v>90.805666900000006</v>
      </c>
      <c r="G241">
        <f t="shared" si="15"/>
        <v>92.1449985</v>
      </c>
      <c r="H241">
        <f t="shared" si="17"/>
        <v>92.60499870000001</v>
      </c>
      <c r="I241">
        <f t="shared" si="16"/>
        <v>91.684998300000018</v>
      </c>
      <c r="J241">
        <f t="shared" si="18"/>
        <v>91.899994184703161</v>
      </c>
    </row>
    <row r="242" spans="1:10" x14ac:dyDescent="0.2">
      <c r="A242" s="1">
        <v>44966</v>
      </c>
      <c r="B242">
        <v>91.07</v>
      </c>
      <c r="C242">
        <v>93</v>
      </c>
      <c r="D242">
        <v>89.139999000000003</v>
      </c>
      <c r="E242">
        <v>90.260002</v>
      </c>
      <c r="F242">
        <f t="shared" si="19"/>
        <v>90.960666933333343</v>
      </c>
      <c r="G242">
        <f t="shared" si="15"/>
        <v>91.459998999999996</v>
      </c>
      <c r="H242">
        <f t="shared" si="17"/>
        <v>91.988998300000006</v>
      </c>
      <c r="I242">
        <f t="shared" si="16"/>
        <v>90.930999700000001</v>
      </c>
      <c r="J242">
        <f t="shared" si="18"/>
        <v>91.243997310821896</v>
      </c>
    </row>
    <row r="243" spans="1:10" x14ac:dyDescent="0.2">
      <c r="A243" s="1">
        <v>44967</v>
      </c>
      <c r="B243">
        <v>90.300003000000004</v>
      </c>
      <c r="C243">
        <v>90.800003000000004</v>
      </c>
      <c r="D243">
        <v>88.589995999999999</v>
      </c>
      <c r="E243">
        <v>89.07</v>
      </c>
      <c r="F243">
        <f t="shared" si="19"/>
        <v>91.125666833333341</v>
      </c>
      <c r="G243">
        <f t="shared" si="15"/>
        <v>90.319999749999994</v>
      </c>
      <c r="H243">
        <f t="shared" si="17"/>
        <v>90.664999399999999</v>
      </c>
      <c r="I243">
        <f t="shared" si="16"/>
        <v>89.975000100000003</v>
      </c>
      <c r="J243">
        <f t="shared" si="18"/>
        <v>90.374398386493141</v>
      </c>
    </row>
    <row r="244" spans="1:10" x14ac:dyDescent="0.2">
      <c r="A244" s="1">
        <v>44970</v>
      </c>
      <c r="B244">
        <v>89.889999000000003</v>
      </c>
      <c r="C244">
        <v>91.550003000000004</v>
      </c>
      <c r="D244">
        <v>89.349997999999999</v>
      </c>
      <c r="E244">
        <v>89.629997000000003</v>
      </c>
      <c r="F244">
        <f t="shared" si="19"/>
        <v>91.369999966666683</v>
      </c>
      <c r="G244">
        <f t="shared" si="15"/>
        <v>89.924999249999999</v>
      </c>
      <c r="H244">
        <f t="shared" si="17"/>
        <v>90.150999499999998</v>
      </c>
      <c r="I244">
        <f t="shared" si="16"/>
        <v>89.698999000000015</v>
      </c>
      <c r="J244">
        <f t="shared" si="18"/>
        <v>90.07663783189588</v>
      </c>
    </row>
    <row r="245" spans="1:10" x14ac:dyDescent="0.2">
      <c r="A245" s="1">
        <v>44971</v>
      </c>
      <c r="B245">
        <v>89.989998</v>
      </c>
      <c r="C245">
        <v>90.029999000000004</v>
      </c>
      <c r="D245">
        <v>86.970000999999996</v>
      </c>
      <c r="E245">
        <v>88.690002000000007</v>
      </c>
      <c r="F245">
        <f t="shared" si="19"/>
        <v>91.504666633333343</v>
      </c>
      <c r="G245">
        <f t="shared" si="15"/>
        <v>89.412500249999994</v>
      </c>
      <c r="H245">
        <f t="shared" si="17"/>
        <v>89.620000400000009</v>
      </c>
      <c r="I245">
        <f t="shared" si="16"/>
        <v>89.205000100000007</v>
      </c>
      <c r="J245">
        <f t="shared" si="18"/>
        <v>89.521983499137519</v>
      </c>
    </row>
    <row r="246" spans="1:10" x14ac:dyDescent="0.2">
      <c r="A246" s="1">
        <v>44972</v>
      </c>
      <c r="B246">
        <v>89.510002</v>
      </c>
      <c r="C246">
        <v>89.589995999999999</v>
      </c>
      <c r="D246">
        <v>87.220000999999996</v>
      </c>
      <c r="E246">
        <v>89.580001999999993</v>
      </c>
      <c r="F246">
        <f t="shared" si="19"/>
        <v>91.673666633333355</v>
      </c>
      <c r="G246">
        <f t="shared" si="15"/>
        <v>89.242500249999992</v>
      </c>
      <c r="H246">
        <f t="shared" si="17"/>
        <v>89.212999700000012</v>
      </c>
      <c r="I246">
        <f t="shared" si="16"/>
        <v>89.272000800000001</v>
      </c>
      <c r="J246">
        <f t="shared" si="18"/>
        <v>89.545190899482506</v>
      </c>
    </row>
    <row r="247" spans="1:10" x14ac:dyDescent="0.2">
      <c r="A247" s="1">
        <v>44973</v>
      </c>
      <c r="B247">
        <v>89.669998000000007</v>
      </c>
      <c r="C247">
        <v>89.910004000000001</v>
      </c>
      <c r="D247">
        <v>88.360000999999997</v>
      </c>
      <c r="E247">
        <v>88.900002000000001</v>
      </c>
      <c r="F247">
        <f t="shared" si="19"/>
        <v>91.774000066666673</v>
      </c>
      <c r="G247">
        <f t="shared" si="15"/>
        <v>89.200000749999987</v>
      </c>
      <c r="H247">
        <f t="shared" si="17"/>
        <v>89.265000000000015</v>
      </c>
      <c r="I247">
        <f t="shared" si="16"/>
        <v>89.135001500000016</v>
      </c>
      <c r="J247">
        <f t="shared" si="18"/>
        <v>89.287115339689507</v>
      </c>
    </row>
    <row r="248" spans="1:10" x14ac:dyDescent="0.2">
      <c r="A248" s="1">
        <v>44974</v>
      </c>
      <c r="B248">
        <v>88.870002999999997</v>
      </c>
      <c r="C248">
        <v>88.870002999999997</v>
      </c>
      <c r="D248">
        <v>86.019997000000004</v>
      </c>
      <c r="E248">
        <v>87.389999000000003</v>
      </c>
      <c r="F248">
        <f t="shared" si="19"/>
        <v>91.764333366666662</v>
      </c>
      <c r="G248">
        <f t="shared" si="15"/>
        <v>88.640001249999997</v>
      </c>
      <c r="H248">
        <f t="shared" si="17"/>
        <v>88.869001699999998</v>
      </c>
      <c r="I248">
        <f t="shared" si="16"/>
        <v>88.411000800000011</v>
      </c>
      <c r="J248">
        <f t="shared" si="18"/>
        <v>88.528268803813717</v>
      </c>
    </row>
    <row r="249" spans="1:10" x14ac:dyDescent="0.2">
      <c r="A249" s="1">
        <v>44977</v>
      </c>
      <c r="B249">
        <v>88</v>
      </c>
      <c r="C249">
        <v>90.790001000000004</v>
      </c>
      <c r="D249">
        <v>88</v>
      </c>
      <c r="E249">
        <v>88.800003000000004</v>
      </c>
      <c r="F249">
        <f t="shared" si="19"/>
        <v>91.787000033333328</v>
      </c>
      <c r="G249">
        <f t="shared" si="15"/>
        <v>88.6675015</v>
      </c>
      <c r="H249">
        <f t="shared" si="17"/>
        <v>88.86000150000001</v>
      </c>
      <c r="I249">
        <f t="shared" si="16"/>
        <v>88.475001500000019</v>
      </c>
      <c r="J249">
        <f t="shared" si="18"/>
        <v>88.636962482288226</v>
      </c>
    </row>
    <row r="250" spans="1:10" x14ac:dyDescent="0.2">
      <c r="A250" s="1">
        <v>44978</v>
      </c>
      <c r="B250">
        <v>88.720000999999996</v>
      </c>
      <c r="C250">
        <v>89.639999000000003</v>
      </c>
      <c r="D250">
        <v>87.589995999999999</v>
      </c>
      <c r="E250">
        <v>87.760002</v>
      </c>
      <c r="F250">
        <f t="shared" si="19"/>
        <v>91.69600016666665</v>
      </c>
      <c r="G250">
        <f t="shared" si="15"/>
        <v>88.212501500000002</v>
      </c>
      <c r="H250">
        <f t="shared" si="17"/>
        <v>88.31300130000001</v>
      </c>
      <c r="I250">
        <f t="shared" si="16"/>
        <v>88.112001700000008</v>
      </c>
      <c r="J250">
        <f t="shared" si="18"/>
        <v>88.286178289372941</v>
      </c>
    </row>
    <row r="251" spans="1:10" x14ac:dyDescent="0.2">
      <c r="A251" s="1">
        <v>44979</v>
      </c>
      <c r="B251">
        <v>87.709998999999996</v>
      </c>
      <c r="C251">
        <v>88.580001999999993</v>
      </c>
      <c r="D251">
        <v>86.110000999999997</v>
      </c>
      <c r="E251">
        <v>86.690002000000007</v>
      </c>
      <c r="F251">
        <f t="shared" si="19"/>
        <v>91.575666799999979</v>
      </c>
      <c r="G251">
        <f t="shared" si="15"/>
        <v>87.660001499999993</v>
      </c>
      <c r="H251">
        <f t="shared" si="17"/>
        <v>87.817001100000013</v>
      </c>
      <c r="I251">
        <f t="shared" si="16"/>
        <v>87.503001900000015</v>
      </c>
      <c r="J251">
        <f t="shared" si="18"/>
        <v>87.647707773623765</v>
      </c>
    </row>
    <row r="252" spans="1:10" x14ac:dyDescent="0.2">
      <c r="A252" s="1">
        <v>44980</v>
      </c>
      <c r="B252">
        <v>87.480002999999996</v>
      </c>
      <c r="C252">
        <v>89.339995999999999</v>
      </c>
      <c r="D252">
        <v>86.860000999999997</v>
      </c>
      <c r="E252">
        <v>87.190002000000007</v>
      </c>
      <c r="F252">
        <f t="shared" si="19"/>
        <v>91.467000299999967</v>
      </c>
      <c r="G252">
        <f t="shared" si="15"/>
        <v>87.610002249999994</v>
      </c>
      <c r="H252">
        <f t="shared" si="17"/>
        <v>87.905002400000001</v>
      </c>
      <c r="I252">
        <f t="shared" si="16"/>
        <v>87.315002100000015</v>
      </c>
      <c r="J252">
        <f t="shared" si="18"/>
        <v>87.464625464174262</v>
      </c>
    </row>
    <row r="253" spans="1:10" x14ac:dyDescent="0.2">
      <c r="A253" s="1">
        <v>44981</v>
      </c>
      <c r="B253">
        <v>87.550003000000004</v>
      </c>
      <c r="C253">
        <v>88.309997999999993</v>
      </c>
      <c r="D253">
        <v>86.290001000000004</v>
      </c>
      <c r="E253">
        <v>88.230002999999996</v>
      </c>
      <c r="F253">
        <f t="shared" si="19"/>
        <v>91.361333666666653</v>
      </c>
      <c r="G253">
        <f t="shared" si="15"/>
        <v>87.46750225000001</v>
      </c>
      <c r="H253">
        <f t="shared" si="17"/>
        <v>87.372002100000017</v>
      </c>
      <c r="I253">
        <f t="shared" si="16"/>
        <v>87.563002400000016</v>
      </c>
      <c r="J253">
        <f t="shared" si="18"/>
        <v>87.770776478504558</v>
      </c>
    </row>
    <row r="254" spans="1:10" x14ac:dyDescent="0.2">
      <c r="A254" s="1">
        <v>44984</v>
      </c>
      <c r="B254">
        <v>87.650002000000001</v>
      </c>
      <c r="C254">
        <v>90.989998</v>
      </c>
      <c r="D254">
        <v>87.269997000000004</v>
      </c>
      <c r="E254">
        <v>89.260002</v>
      </c>
      <c r="F254">
        <f t="shared" si="19"/>
        <v>91.295666966666644</v>
      </c>
      <c r="G254">
        <f>AVERAGE(E251:E254)</f>
        <v>87.842502249999995</v>
      </c>
      <c r="H254">
        <f t="shared" si="17"/>
        <v>87.405002200000013</v>
      </c>
      <c r="I254">
        <f t="shared" si="16"/>
        <v>88.280002300000007</v>
      </c>
      <c r="J254">
        <f t="shared" si="18"/>
        <v>88.366466687102729</v>
      </c>
    </row>
  </sheetData>
  <autoFilter ref="A1:E254" xr:uid="{00000000-0009-0000-0000-000000000000}">
    <sortState xmlns:xlrd2="http://schemas.microsoft.com/office/spreadsheetml/2017/richdata2" ref="A2:E254">
      <sortCondition ref="A1:A254"/>
    </sortState>
  </autoFilter>
  <sortState xmlns:xlrd2="http://schemas.microsoft.com/office/spreadsheetml/2017/richdata2" ref="K2:K5">
    <sortCondition descending="1" ref="K2:K5"/>
  </sortState>
  <mergeCells count="1">
    <mergeCell ref="K14:L1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46DB8-31D2-4188-BFB4-C3B9D583D434}">
  <sheetPr codeName="Sheet2"/>
  <dimension ref="A1:T203"/>
  <sheetViews>
    <sheetView zoomScale="94" workbookViewId="0">
      <pane xSplit="1" ySplit="1" topLeftCell="B2" activePane="bottomRight" state="frozen"/>
      <selection pane="topRight" activeCell="B1" sqref="B1"/>
      <selection pane="bottomLeft" activeCell="A2" sqref="A2"/>
      <selection pane="bottomRight" activeCell="R11" sqref="R11"/>
    </sheetView>
  </sheetViews>
  <sheetFormatPr baseColWidth="10" defaultColWidth="8.83203125" defaultRowHeight="15" x14ac:dyDescent="0.2"/>
  <cols>
    <col min="1" max="1" width="9.6640625" customWidth="1"/>
    <col min="8" max="8" width="12.1640625" bestFit="1" customWidth="1"/>
    <col min="9" max="9" width="14.33203125" bestFit="1" customWidth="1"/>
    <col min="11" max="11" width="13.5" bestFit="1" customWidth="1"/>
    <col min="15" max="15" width="12.6640625" bestFit="1" customWidth="1"/>
    <col min="16" max="16" width="12.1640625" bestFit="1" customWidth="1"/>
  </cols>
  <sheetData>
    <row r="1" spans="1:16" s="12" customFormat="1" x14ac:dyDescent="0.2">
      <c r="A1" s="9" t="s">
        <v>0</v>
      </c>
      <c r="B1" s="9" t="s">
        <v>1</v>
      </c>
      <c r="C1" s="9" t="s">
        <v>2</v>
      </c>
      <c r="D1" s="9" t="s">
        <v>3</v>
      </c>
      <c r="E1" s="9" t="s">
        <v>4</v>
      </c>
      <c r="F1" s="10" t="s">
        <v>24</v>
      </c>
      <c r="G1" s="10" t="s">
        <v>25</v>
      </c>
      <c r="H1" s="11" t="s">
        <v>27</v>
      </c>
      <c r="I1" s="11" t="s">
        <v>26</v>
      </c>
      <c r="J1" s="12" t="s">
        <v>31</v>
      </c>
      <c r="K1" s="13" t="s">
        <v>30</v>
      </c>
      <c r="L1" s="13" t="s">
        <v>29</v>
      </c>
      <c r="M1" s="13" t="s">
        <v>32</v>
      </c>
      <c r="N1" s="14" t="s">
        <v>25</v>
      </c>
      <c r="O1" s="14" t="s">
        <v>34</v>
      </c>
      <c r="P1" s="14" t="s">
        <v>35</v>
      </c>
    </row>
    <row r="2" spans="1:16" x14ac:dyDescent="0.2">
      <c r="A2" s="7">
        <v>44620</v>
      </c>
      <c r="B2" s="4">
        <v>63.580002</v>
      </c>
      <c r="C2" s="4">
        <v>65.050003000000004</v>
      </c>
      <c r="D2" s="4">
        <v>62.57</v>
      </c>
      <c r="E2" s="4">
        <v>63.07</v>
      </c>
      <c r="F2" s="6"/>
      <c r="G2" s="6"/>
      <c r="H2" s="3"/>
      <c r="I2" s="3"/>
      <c r="K2" s="5"/>
      <c r="L2" s="5"/>
      <c r="M2" s="5"/>
      <c r="N2" s="8">
        <v>58.032000249999996</v>
      </c>
      <c r="O2" s="8">
        <v>63.048540199114214</v>
      </c>
      <c r="P2" s="8">
        <v>53.015460300885778</v>
      </c>
    </row>
    <row r="3" spans="1:16" x14ac:dyDescent="0.2">
      <c r="A3" s="7">
        <v>44621</v>
      </c>
      <c r="B3" s="4">
        <v>63.189999</v>
      </c>
      <c r="C3" s="4">
        <v>64.139999000000003</v>
      </c>
      <c r="D3" s="4">
        <v>60.299999</v>
      </c>
      <c r="E3" s="4">
        <v>62.330002</v>
      </c>
      <c r="F3" s="6"/>
      <c r="G3" s="6"/>
      <c r="H3" s="3"/>
      <c r="I3" s="3"/>
      <c r="K3" s="5"/>
      <c r="L3" s="5"/>
      <c r="M3" s="5"/>
      <c r="N3" s="8">
        <v>57.908500149999995</v>
      </c>
      <c r="O3" s="8">
        <v>62.50701415503832</v>
      </c>
      <c r="P3" s="8">
        <v>53.30998614496167</v>
      </c>
    </row>
    <row r="4" spans="1:16" x14ac:dyDescent="0.2">
      <c r="A4" s="7">
        <v>44622</v>
      </c>
      <c r="B4" s="4">
        <v>62.529998999999997</v>
      </c>
      <c r="C4" s="4">
        <v>63.709999000000003</v>
      </c>
      <c r="D4" s="4">
        <v>61.700001</v>
      </c>
      <c r="E4" s="4">
        <v>61.900002000000001</v>
      </c>
      <c r="F4" s="6"/>
      <c r="G4" s="6"/>
      <c r="H4" s="3"/>
      <c r="I4" s="3"/>
      <c r="K4" s="5"/>
      <c r="L4" s="5"/>
      <c r="M4" s="5"/>
      <c r="N4" s="8">
        <v>57.797999999999988</v>
      </c>
      <c r="O4" s="8">
        <v>62.041680512802941</v>
      </c>
      <c r="P4" s="8">
        <v>53.554319487197034</v>
      </c>
    </row>
    <row r="5" spans="1:16" x14ac:dyDescent="0.2">
      <c r="A5" s="7">
        <v>44623</v>
      </c>
      <c r="B5" s="4">
        <v>61.959999000000003</v>
      </c>
      <c r="C5" s="4">
        <v>62.610000999999997</v>
      </c>
      <c r="D5" s="4">
        <v>58.810001</v>
      </c>
      <c r="E5" s="4">
        <v>59.209999000000003</v>
      </c>
      <c r="F5" s="6"/>
      <c r="G5" s="6"/>
      <c r="H5" s="3"/>
      <c r="I5" s="3"/>
      <c r="K5" s="5"/>
      <c r="L5" s="5"/>
      <c r="M5" s="5"/>
      <c r="N5" s="8">
        <v>57.705999949999999</v>
      </c>
      <c r="O5" s="8">
        <v>61.644016103826132</v>
      </c>
      <c r="P5" s="8">
        <v>53.767983796173866</v>
      </c>
    </row>
    <row r="6" spans="1:16" x14ac:dyDescent="0.2">
      <c r="A6" s="7">
        <v>44624</v>
      </c>
      <c r="B6" s="4">
        <v>59.189999</v>
      </c>
      <c r="C6" s="4">
        <v>59.400002000000001</v>
      </c>
      <c r="D6" s="4">
        <v>57.200001</v>
      </c>
      <c r="E6" s="4">
        <v>57.439999</v>
      </c>
      <c r="F6" s="6">
        <v>60.790000400000011</v>
      </c>
      <c r="G6" s="6"/>
      <c r="H6" s="3">
        <v>61.748667400000002</v>
      </c>
      <c r="I6" s="3">
        <v>59.831333399999991</v>
      </c>
      <c r="K6" s="5"/>
      <c r="L6" s="5"/>
      <c r="M6" s="5"/>
      <c r="N6" s="8">
        <v>57.894499999999994</v>
      </c>
      <c r="O6" s="8">
        <v>62.448394373645662</v>
      </c>
      <c r="P6" s="8">
        <v>53.340605626354325</v>
      </c>
    </row>
    <row r="7" spans="1:16" x14ac:dyDescent="0.2">
      <c r="A7" s="7">
        <v>44627</v>
      </c>
      <c r="B7" s="4">
        <v>57.220001000000003</v>
      </c>
      <c r="C7" s="4">
        <v>57.32</v>
      </c>
      <c r="D7" s="4">
        <v>52.959999000000003</v>
      </c>
      <c r="E7" s="4">
        <v>53.200001</v>
      </c>
      <c r="F7" s="6">
        <v>58.81600060000001</v>
      </c>
      <c r="G7" s="6"/>
      <c r="H7" s="3">
        <v>60.330667599999998</v>
      </c>
      <c r="I7" s="3">
        <v>57.301333600000007</v>
      </c>
      <c r="K7" s="5"/>
      <c r="L7" s="5"/>
      <c r="M7" s="5"/>
      <c r="N7" s="8">
        <v>58.238500049999992</v>
      </c>
      <c r="O7" s="8">
        <v>63.613276221457625</v>
      </c>
      <c r="P7" s="8">
        <v>52.863723878542359</v>
      </c>
    </row>
    <row r="8" spans="1:16" x14ac:dyDescent="0.2">
      <c r="A8" s="7">
        <v>44628</v>
      </c>
      <c r="B8" s="4">
        <v>53.389999000000003</v>
      </c>
      <c r="C8" s="4">
        <v>54.59</v>
      </c>
      <c r="D8" s="4">
        <v>51.779998999999997</v>
      </c>
      <c r="E8" s="4">
        <v>54.209999000000003</v>
      </c>
      <c r="F8" s="6">
        <v>57.191999999999993</v>
      </c>
      <c r="G8" s="6"/>
      <c r="H8" s="3">
        <v>58.618000266666655</v>
      </c>
      <c r="I8" s="3">
        <v>55.765999733333338</v>
      </c>
      <c r="K8" s="5"/>
      <c r="L8" s="5"/>
      <c r="M8" s="5"/>
      <c r="N8" s="8">
        <v>58.703499999999998</v>
      </c>
      <c r="O8" s="8">
        <v>63.847089772871122</v>
      </c>
      <c r="P8" s="8">
        <v>53.559910227128874</v>
      </c>
    </row>
    <row r="9" spans="1:16" x14ac:dyDescent="0.2">
      <c r="A9" s="7">
        <v>44629</v>
      </c>
      <c r="B9" s="4">
        <v>54.77</v>
      </c>
      <c r="C9" s="4">
        <v>57</v>
      </c>
      <c r="D9" s="4">
        <v>54.209999000000003</v>
      </c>
      <c r="E9" s="4">
        <v>56.459999000000003</v>
      </c>
      <c r="F9" s="6">
        <v>56.103999400000006</v>
      </c>
      <c r="G9" s="6"/>
      <c r="H9" s="3">
        <v>56.685999399999993</v>
      </c>
      <c r="I9" s="3">
        <v>55.521999400000006</v>
      </c>
      <c r="K9" s="5"/>
      <c r="L9" s="5"/>
      <c r="M9" s="5"/>
      <c r="N9" s="8">
        <v>58.968499950000002</v>
      </c>
      <c r="O9" s="8">
        <v>63.663914020346311</v>
      </c>
      <c r="P9" s="8">
        <v>54.273085879653692</v>
      </c>
    </row>
    <row r="10" spans="1:16" x14ac:dyDescent="0.2">
      <c r="A10" s="7">
        <v>44630</v>
      </c>
      <c r="B10" s="4">
        <v>56.490001999999997</v>
      </c>
      <c r="C10" s="4">
        <v>58.209999000000003</v>
      </c>
      <c r="D10" s="4">
        <v>55.009998000000003</v>
      </c>
      <c r="E10" s="4">
        <v>57.099997999999999</v>
      </c>
      <c r="F10" s="6">
        <v>55.681999199999993</v>
      </c>
      <c r="G10" s="6"/>
      <c r="H10" s="3">
        <v>55.50999946666667</v>
      </c>
      <c r="I10" s="3">
        <v>55.85399893333333</v>
      </c>
      <c r="K10" s="5"/>
      <c r="L10" s="5"/>
      <c r="M10" s="5"/>
      <c r="N10" s="8">
        <v>59.120500000000007</v>
      </c>
      <c r="O10" s="8">
        <v>63.668505302964739</v>
      </c>
      <c r="P10" s="8">
        <v>54.572494697035275</v>
      </c>
    </row>
    <row r="11" spans="1:16" x14ac:dyDescent="0.2">
      <c r="A11" s="7">
        <v>44631</v>
      </c>
      <c r="B11" s="4">
        <v>57.360000999999997</v>
      </c>
      <c r="C11" s="4">
        <v>58</v>
      </c>
      <c r="D11" s="4">
        <v>55.400002000000001</v>
      </c>
      <c r="E11" s="4">
        <v>56.650002000000001</v>
      </c>
      <c r="F11" s="6">
        <v>55.523999799999999</v>
      </c>
      <c r="G11" s="6"/>
      <c r="H11" s="3">
        <v>54.871333066666672</v>
      </c>
      <c r="I11" s="3">
        <v>56.176666533333332</v>
      </c>
      <c r="K11" s="5"/>
      <c r="L11" s="5"/>
      <c r="M11" s="5"/>
      <c r="N11" s="8">
        <v>59.226500149999993</v>
      </c>
      <c r="O11" s="8">
        <v>63.673934054743015</v>
      </c>
      <c r="P11" s="8">
        <v>54.779066245256971</v>
      </c>
    </row>
    <row r="12" spans="1:16" x14ac:dyDescent="0.2">
      <c r="A12" s="7">
        <v>44634</v>
      </c>
      <c r="B12" s="4">
        <v>56.75</v>
      </c>
      <c r="C12" s="4">
        <v>56.75</v>
      </c>
      <c r="D12" s="4">
        <v>54.52</v>
      </c>
      <c r="E12" s="4">
        <v>55.200001</v>
      </c>
      <c r="F12" s="6">
        <v>55.923999800000004</v>
      </c>
      <c r="G12" s="6"/>
      <c r="H12" s="3">
        <v>55.779332666666662</v>
      </c>
      <c r="I12" s="3">
        <v>56.068666933333333</v>
      </c>
      <c r="K12" s="5"/>
      <c r="L12" s="5"/>
      <c r="M12" s="5"/>
      <c r="N12" s="8">
        <v>59.314500050000007</v>
      </c>
      <c r="O12" s="8">
        <v>63.614484743510609</v>
      </c>
      <c r="P12" s="8">
        <v>55.014515356489404</v>
      </c>
    </row>
    <row r="13" spans="1:16" x14ac:dyDescent="0.2">
      <c r="A13" s="7">
        <v>44635</v>
      </c>
      <c r="B13" s="4">
        <v>55.200001</v>
      </c>
      <c r="C13" s="4">
        <v>57.900002000000001</v>
      </c>
      <c r="D13" s="4">
        <v>53.810001</v>
      </c>
      <c r="E13" s="4">
        <v>56.27</v>
      </c>
      <c r="F13" s="6">
        <v>56.335999999999999</v>
      </c>
      <c r="G13" s="6"/>
      <c r="H13" s="3">
        <v>56.487999666666667</v>
      </c>
      <c r="I13" s="3">
        <v>56.184000333333337</v>
      </c>
      <c r="J13">
        <v>57.753333499999997</v>
      </c>
      <c r="K13" s="5"/>
      <c r="L13" s="5"/>
      <c r="M13" s="5"/>
      <c r="N13" s="8">
        <v>59.387000100000002</v>
      </c>
      <c r="O13" s="8">
        <v>63.43648861902178</v>
      </c>
      <c r="P13" s="8">
        <v>55.337511580978223</v>
      </c>
    </row>
    <row r="14" spans="1:16" x14ac:dyDescent="0.2">
      <c r="A14" s="7">
        <v>44636</v>
      </c>
      <c r="B14" s="4">
        <v>56.689999</v>
      </c>
      <c r="C14" s="4">
        <v>60.400002000000001</v>
      </c>
      <c r="D14" s="4">
        <v>56.689999</v>
      </c>
      <c r="E14" s="4">
        <v>58.889999000000003</v>
      </c>
      <c r="F14" s="6">
        <v>56.822000000000003</v>
      </c>
      <c r="G14" s="6"/>
      <c r="H14" s="3">
        <v>56.608666666666679</v>
      </c>
      <c r="I14" s="3">
        <v>57.035333333333341</v>
      </c>
      <c r="J14">
        <v>57.928205115384614</v>
      </c>
      <c r="K14" s="5"/>
      <c r="L14" s="5"/>
      <c r="M14" s="5" t="s">
        <v>33</v>
      </c>
      <c r="N14" s="8">
        <v>59.462500050000003</v>
      </c>
      <c r="O14" s="8">
        <v>63.3190039228177</v>
      </c>
      <c r="P14" s="8">
        <v>55.605996177182305</v>
      </c>
    </row>
    <row r="15" spans="1:16" x14ac:dyDescent="0.2">
      <c r="A15" s="7">
        <v>44637</v>
      </c>
      <c r="B15" s="4">
        <v>58.700001</v>
      </c>
      <c r="C15" s="4">
        <v>59.700001</v>
      </c>
      <c r="D15" s="4">
        <v>57.66</v>
      </c>
      <c r="E15" s="4">
        <v>58.720001000000003</v>
      </c>
      <c r="F15" s="6">
        <v>57.146000600000001</v>
      </c>
      <c r="G15" s="6"/>
      <c r="H15" s="3">
        <v>56.62400086666667</v>
      </c>
      <c r="I15" s="3">
        <v>57.668000333333339</v>
      </c>
      <c r="J15">
        <v>58.050019866863906</v>
      </c>
      <c r="K15" s="5"/>
      <c r="L15" s="5"/>
      <c r="M15" s="5"/>
      <c r="N15" s="8">
        <v>59.407000050000008</v>
      </c>
      <c r="O15" s="8">
        <v>63.32957714074626</v>
      </c>
      <c r="P15" s="8">
        <v>55.484422959253756</v>
      </c>
    </row>
    <row r="16" spans="1:16" x14ac:dyDescent="0.2">
      <c r="A16" s="7">
        <v>44638</v>
      </c>
      <c r="B16" s="4">
        <v>58.400002000000001</v>
      </c>
      <c r="C16" s="4">
        <v>59.5</v>
      </c>
      <c r="D16" s="4">
        <v>57.41</v>
      </c>
      <c r="E16" s="4">
        <v>57.98</v>
      </c>
      <c r="F16" s="6">
        <v>57.412000200000001</v>
      </c>
      <c r="G16" s="6"/>
      <c r="H16" s="3">
        <v>56.878000266666668</v>
      </c>
      <c r="I16" s="3">
        <v>57.946000133333342</v>
      </c>
      <c r="J16">
        <v>58.039247579654074</v>
      </c>
      <c r="K16" s="5"/>
      <c r="L16" s="5"/>
      <c r="M16" s="5"/>
      <c r="N16" s="8">
        <v>59.451500050000007</v>
      </c>
      <c r="O16" s="8">
        <v>63.361434471230247</v>
      </c>
      <c r="P16" s="8">
        <v>55.541565628769767</v>
      </c>
    </row>
    <row r="17" spans="1:16" x14ac:dyDescent="0.2">
      <c r="A17" s="7">
        <v>44642</v>
      </c>
      <c r="B17" s="4">
        <v>58.16</v>
      </c>
      <c r="C17" s="4">
        <v>59.580002</v>
      </c>
      <c r="D17" s="4">
        <v>55.759998000000003</v>
      </c>
      <c r="E17" s="4">
        <v>59.290000999999997</v>
      </c>
      <c r="F17" s="6">
        <v>58.230000199999992</v>
      </c>
      <c r="G17" s="6"/>
      <c r="H17" s="3">
        <v>57.887999999999998</v>
      </c>
      <c r="I17" s="3">
        <v>58.572000400000007</v>
      </c>
      <c r="J17">
        <v>58.231671182784218</v>
      </c>
      <c r="K17" s="5"/>
      <c r="L17" s="5"/>
      <c r="M17" s="5"/>
      <c r="N17" s="8">
        <v>59.433000100000001</v>
      </c>
      <c r="O17" s="8">
        <v>63.375614794470927</v>
      </c>
      <c r="P17" s="8">
        <v>55.490385405529075</v>
      </c>
    </row>
    <row r="18" spans="1:16" x14ac:dyDescent="0.2">
      <c r="A18" s="7">
        <v>44643</v>
      </c>
      <c r="B18" s="4">
        <v>58.880001</v>
      </c>
      <c r="C18" s="4">
        <v>59.150002000000001</v>
      </c>
      <c r="D18" s="4">
        <v>57</v>
      </c>
      <c r="E18" s="4">
        <v>57.490001999999997</v>
      </c>
      <c r="F18" s="6">
        <v>58.474000599999997</v>
      </c>
      <c r="G18" s="6"/>
      <c r="H18" s="3">
        <v>58.62266686666667</v>
      </c>
      <c r="I18" s="3">
        <v>58.325334333333331</v>
      </c>
      <c r="J18">
        <v>58.117568231586645</v>
      </c>
      <c r="K18" s="5"/>
      <c r="L18" s="5"/>
      <c r="M18" s="5"/>
      <c r="N18" s="8">
        <v>59.260500049999983</v>
      </c>
      <c r="O18" s="8">
        <v>63.518719992380774</v>
      </c>
      <c r="P18" s="8">
        <v>55.002280107619193</v>
      </c>
    </row>
    <row r="19" spans="1:16" x14ac:dyDescent="0.2">
      <c r="A19" s="7">
        <v>44644</v>
      </c>
      <c r="B19" s="4">
        <v>58.139999000000003</v>
      </c>
      <c r="C19" s="4">
        <v>58.299999</v>
      </c>
      <c r="D19" s="4">
        <v>56.75</v>
      </c>
      <c r="E19" s="4">
        <v>57.73</v>
      </c>
      <c r="F19" s="6">
        <v>58.242000800000007</v>
      </c>
      <c r="G19" s="6"/>
      <c r="H19" s="3">
        <v>58.406667466666661</v>
      </c>
      <c r="I19" s="3">
        <v>58.077334133333331</v>
      </c>
      <c r="J19">
        <v>58.057942349804087</v>
      </c>
      <c r="K19" s="5"/>
      <c r="L19" s="5"/>
      <c r="M19" s="5"/>
      <c r="N19" s="8">
        <v>59.185500049999987</v>
      </c>
      <c r="O19" s="8">
        <v>63.624041068445834</v>
      </c>
      <c r="P19" s="8">
        <v>54.746959031554141</v>
      </c>
    </row>
    <row r="20" spans="1:16" x14ac:dyDescent="0.2">
      <c r="A20" s="7">
        <v>44645</v>
      </c>
      <c r="B20" s="4">
        <v>57.810001</v>
      </c>
      <c r="C20" s="4">
        <v>58.75</v>
      </c>
      <c r="D20" s="4">
        <v>56.82</v>
      </c>
      <c r="E20" s="4">
        <v>58.279998999999997</v>
      </c>
      <c r="F20" s="6">
        <v>58.154000399999994</v>
      </c>
      <c r="G20" s="6"/>
      <c r="H20" s="3">
        <v>58.218000599999996</v>
      </c>
      <c r="I20" s="3">
        <v>58.090000199999992</v>
      </c>
      <c r="J20">
        <v>58.092104911372687</v>
      </c>
      <c r="K20" s="5"/>
      <c r="L20" s="5"/>
      <c r="M20" s="5"/>
      <c r="N20" s="8">
        <v>59.105999999999995</v>
      </c>
      <c r="O20" s="8">
        <v>63.708247994416496</v>
      </c>
      <c r="P20" s="8">
        <v>54.503752005583493</v>
      </c>
    </row>
    <row r="21" spans="1:16" x14ac:dyDescent="0.2">
      <c r="A21" s="7">
        <v>44648</v>
      </c>
      <c r="B21" s="4">
        <v>58.279998999999997</v>
      </c>
      <c r="C21" s="4">
        <v>59.490001999999997</v>
      </c>
      <c r="D21" s="4">
        <v>57.779998999999997</v>
      </c>
      <c r="E21" s="4">
        <v>59.220001000000003</v>
      </c>
      <c r="F21" s="6">
        <v>58.402000599999994</v>
      </c>
      <c r="G21" s="6">
        <v>58.032000249999996</v>
      </c>
      <c r="H21" s="3">
        <v>58.35866746666666</v>
      </c>
      <c r="I21" s="3">
        <v>58.445333733333335</v>
      </c>
      <c r="J21">
        <v>58.265627386546122</v>
      </c>
      <c r="K21" s="5"/>
      <c r="L21" s="5"/>
      <c r="M21" s="5"/>
      <c r="N21" s="8">
        <v>59.0015</v>
      </c>
      <c r="O21" s="8">
        <v>63.774464223845669</v>
      </c>
      <c r="P21" s="8">
        <v>54.228535776154331</v>
      </c>
    </row>
    <row r="22" spans="1:16" x14ac:dyDescent="0.2">
      <c r="A22" s="7">
        <v>44649</v>
      </c>
      <c r="B22" s="4">
        <v>59.099997999999999</v>
      </c>
      <c r="C22" s="4">
        <v>61.5</v>
      </c>
      <c r="D22" s="4">
        <v>58.57</v>
      </c>
      <c r="E22" s="4">
        <v>60.599997999999999</v>
      </c>
      <c r="F22" s="6">
        <v>58.664000000000001</v>
      </c>
      <c r="G22" s="6">
        <v>57.908500149999995</v>
      </c>
      <c r="H22" s="3">
        <v>58.150000466666661</v>
      </c>
      <c r="I22" s="3">
        <v>59.177999533333335</v>
      </c>
      <c r="J22">
        <v>58.624761327077486</v>
      </c>
      <c r="K22" s="5"/>
      <c r="L22" s="5"/>
      <c r="M22" s="5"/>
      <c r="N22" s="8">
        <v>59.115000049999992</v>
      </c>
      <c r="O22" s="8">
        <v>64.016082526137367</v>
      </c>
      <c r="P22" s="8">
        <v>54.213917573862624</v>
      </c>
    </row>
    <row r="23" spans="1:16" x14ac:dyDescent="0.2">
      <c r="A23" s="7">
        <v>44650</v>
      </c>
      <c r="B23" s="4">
        <v>60.490001999999997</v>
      </c>
      <c r="C23" s="4">
        <v>60.529998999999997</v>
      </c>
      <c r="D23" s="4">
        <v>58.509998000000003</v>
      </c>
      <c r="E23" s="4">
        <v>60.119999</v>
      </c>
      <c r="F23" s="6">
        <v>59.189999399999998</v>
      </c>
      <c r="G23" s="6">
        <v>57.797999999999988</v>
      </c>
      <c r="H23" s="3">
        <v>58.716666266666664</v>
      </c>
      <c r="I23" s="3">
        <v>59.663332533333339</v>
      </c>
      <c r="J23">
        <v>58.854797892142486</v>
      </c>
      <c r="K23" s="5"/>
      <c r="L23" s="5"/>
      <c r="M23" s="5"/>
      <c r="N23" s="8">
        <v>59.215500199999994</v>
      </c>
      <c r="O23" s="8">
        <v>64.322888078173193</v>
      </c>
      <c r="P23" s="8">
        <v>54.108112321826795</v>
      </c>
    </row>
    <row r="24" spans="1:16" x14ac:dyDescent="0.2">
      <c r="A24" s="7">
        <v>44651</v>
      </c>
      <c r="B24" s="4">
        <v>60.040000999999997</v>
      </c>
      <c r="C24" s="4">
        <v>60.970001000000003</v>
      </c>
      <c r="D24" s="4">
        <v>59.41</v>
      </c>
      <c r="E24" s="4">
        <v>60.060001</v>
      </c>
      <c r="F24" s="6">
        <v>59.655999599999994</v>
      </c>
      <c r="G24" s="6">
        <v>57.705999949999999</v>
      </c>
      <c r="H24" s="3">
        <v>59.35866613333333</v>
      </c>
      <c r="I24" s="3">
        <v>59.953333066666659</v>
      </c>
      <c r="J24">
        <v>59.040213754889798</v>
      </c>
      <c r="K24" s="5"/>
      <c r="L24" s="5"/>
      <c r="M24" s="5"/>
      <c r="N24" s="8">
        <v>59.354500350000002</v>
      </c>
      <c r="O24" s="8">
        <v>64.710789649938647</v>
      </c>
      <c r="P24" s="8">
        <v>53.998211050061364</v>
      </c>
    </row>
    <row r="25" spans="1:16" x14ac:dyDescent="0.2">
      <c r="A25" s="7">
        <v>44652</v>
      </c>
      <c r="B25" s="4">
        <v>59.799999</v>
      </c>
      <c r="C25" s="4">
        <v>63.400002000000001</v>
      </c>
      <c r="D25" s="4">
        <v>59.799999</v>
      </c>
      <c r="E25" s="4">
        <v>62.98</v>
      </c>
      <c r="F25" s="6">
        <v>60.595999800000001</v>
      </c>
      <c r="G25" s="6">
        <v>57.894499999999994</v>
      </c>
      <c r="H25" s="3">
        <v>60.130666400000003</v>
      </c>
      <c r="I25" s="3">
        <v>61.0613332</v>
      </c>
      <c r="J25">
        <v>59.646334715675984</v>
      </c>
      <c r="K25" s="5"/>
      <c r="L25" s="5"/>
      <c r="M25" s="5"/>
      <c r="N25" s="8">
        <v>59.706000099999997</v>
      </c>
      <c r="O25" s="8">
        <v>66.082698418360181</v>
      </c>
      <c r="P25" s="8">
        <v>53.329301781639813</v>
      </c>
    </row>
    <row r="26" spans="1:16" x14ac:dyDescent="0.2">
      <c r="A26" s="7">
        <v>44655</v>
      </c>
      <c r="B26" s="4">
        <v>63</v>
      </c>
      <c r="C26" s="4">
        <v>66</v>
      </c>
      <c r="D26" s="4">
        <v>62.549999</v>
      </c>
      <c r="E26" s="4">
        <v>64.319999999999993</v>
      </c>
      <c r="F26" s="6">
        <v>61.615999599999995</v>
      </c>
      <c r="G26" s="6">
        <v>58.238500049999992</v>
      </c>
      <c r="H26" s="3">
        <v>60.929332599999995</v>
      </c>
      <c r="I26" s="3">
        <v>62.302666599999995</v>
      </c>
      <c r="J26">
        <v>60.365360144033524</v>
      </c>
      <c r="K26" s="5"/>
      <c r="L26" s="5"/>
      <c r="M26" s="5"/>
      <c r="N26" s="8">
        <v>59.659500050000005</v>
      </c>
      <c r="O26" s="8">
        <v>65.948636000377064</v>
      </c>
      <c r="P26" s="8">
        <v>53.37036409962294</v>
      </c>
    </row>
    <row r="27" spans="1:16" x14ac:dyDescent="0.2">
      <c r="A27" s="7">
        <v>44656</v>
      </c>
      <c r="B27" s="4">
        <v>64.150002000000001</v>
      </c>
      <c r="C27" s="4">
        <v>64.410004000000001</v>
      </c>
      <c r="D27" s="4">
        <v>62.23</v>
      </c>
      <c r="E27" s="4">
        <v>62.5</v>
      </c>
      <c r="F27" s="6">
        <v>61.996000000000002</v>
      </c>
      <c r="G27" s="6">
        <v>58.703499999999998</v>
      </c>
      <c r="H27" s="3">
        <v>61.394666599999994</v>
      </c>
      <c r="I27" s="3">
        <v>62.597333399999997</v>
      </c>
      <c r="J27">
        <v>60.693766275720677</v>
      </c>
      <c r="K27" s="5">
        <v>58.893077038461534</v>
      </c>
      <c r="L27" s="5">
        <v>1.8006892372591423</v>
      </c>
      <c r="M27" s="5"/>
      <c r="N27" s="8">
        <v>59.408000100000002</v>
      </c>
      <c r="O27" s="8">
        <v>65.302316229754439</v>
      </c>
      <c r="P27" s="8">
        <v>53.513683970245566</v>
      </c>
    </row>
    <row r="28" spans="1:16" x14ac:dyDescent="0.2">
      <c r="A28" s="7">
        <v>44657</v>
      </c>
      <c r="B28" s="4">
        <v>62.220001000000003</v>
      </c>
      <c r="C28" s="4">
        <v>62.220001000000003</v>
      </c>
      <c r="D28" s="4">
        <v>59.009998000000003</v>
      </c>
      <c r="E28" s="4">
        <v>59.509998000000003</v>
      </c>
      <c r="F28" s="6">
        <v>61.8739998</v>
      </c>
      <c r="G28" s="6">
        <v>58.968499950000002</v>
      </c>
      <c r="H28" s="3">
        <v>61.979333533333332</v>
      </c>
      <c r="I28" s="3">
        <v>61.768666066666661</v>
      </c>
      <c r="J28">
        <v>60.511648079455959</v>
      </c>
      <c r="K28" s="5">
        <v>60.606079736778405</v>
      </c>
      <c r="L28" s="5">
        <v>-9.4431657322445517E-2</v>
      </c>
      <c r="M28" s="5"/>
      <c r="N28" s="8">
        <v>59.318500049999997</v>
      </c>
      <c r="O28" s="8">
        <v>65.067707869170377</v>
      </c>
      <c r="P28" s="8">
        <v>53.569292230829618</v>
      </c>
    </row>
    <row r="29" spans="1:16" x14ac:dyDescent="0.2">
      <c r="A29" s="7">
        <v>44658</v>
      </c>
      <c r="B29" s="4">
        <v>59.700001</v>
      </c>
      <c r="C29" s="4">
        <v>60.619999</v>
      </c>
      <c r="D29" s="4">
        <v>59.09</v>
      </c>
      <c r="E29" s="4">
        <v>59.5</v>
      </c>
      <c r="F29" s="6">
        <v>61.761999599999989</v>
      </c>
      <c r="G29" s="6">
        <v>59.120500000000007</v>
      </c>
      <c r="H29" s="3">
        <v>62.546666399999992</v>
      </c>
      <c r="I29" s="3">
        <v>60.977332799999999</v>
      </c>
      <c r="J29">
        <v>60.356009913385812</v>
      </c>
      <c r="K29" s="5">
        <v>60.436711184681442</v>
      </c>
      <c r="L29" s="5">
        <v>-8.0701271295630761E-2</v>
      </c>
      <c r="M29" s="5"/>
      <c r="N29" s="8">
        <v>59.406000049999989</v>
      </c>
      <c r="O29" s="8">
        <v>65.220378288525708</v>
      </c>
      <c r="P29" s="8">
        <v>53.591621811474269</v>
      </c>
    </row>
    <row r="30" spans="1:16" x14ac:dyDescent="0.2">
      <c r="A30" s="7">
        <v>44659</v>
      </c>
      <c r="B30" s="4">
        <v>59.599997999999999</v>
      </c>
      <c r="C30" s="4">
        <v>59.599997999999999</v>
      </c>
      <c r="D30" s="4">
        <v>57.669998</v>
      </c>
      <c r="E30" s="4">
        <v>59.220001000000003</v>
      </c>
      <c r="F30" s="6">
        <v>61.009999800000003</v>
      </c>
      <c r="G30" s="6">
        <v>59.226500149999993</v>
      </c>
      <c r="H30" s="3">
        <v>61.889999666666668</v>
      </c>
      <c r="I30" s="3">
        <v>60.129999933333337</v>
      </c>
      <c r="J30">
        <v>60.181239311326458</v>
      </c>
      <c r="K30" s="5">
        <v>60.271861104986868</v>
      </c>
      <c r="L30" s="5">
        <v>-9.0621793660410788E-2</v>
      </c>
      <c r="M30" s="5"/>
      <c r="N30" s="8">
        <v>59.447500149999982</v>
      </c>
      <c r="O30" s="8">
        <v>65.276533136065694</v>
      </c>
      <c r="P30" s="8">
        <v>53.618467163934262</v>
      </c>
    </row>
    <row r="31" spans="1:16" x14ac:dyDescent="0.2">
      <c r="A31" s="7">
        <v>44662</v>
      </c>
      <c r="B31" s="4">
        <v>59.009998000000003</v>
      </c>
      <c r="C31" s="4">
        <v>59.009998000000003</v>
      </c>
      <c r="D31" s="4">
        <v>57.529998999999997</v>
      </c>
      <c r="E31" s="4">
        <v>58.41</v>
      </c>
      <c r="F31" s="6">
        <v>59.827999800000001</v>
      </c>
      <c r="G31" s="6">
        <v>59.314500050000007</v>
      </c>
      <c r="H31" s="3">
        <v>60.392666266666659</v>
      </c>
      <c r="I31" s="3">
        <v>59.263333333333335</v>
      </c>
      <c r="J31">
        <v>59.90874095573777</v>
      </c>
      <c r="K31" s="5">
        <v>60.050036399376353</v>
      </c>
      <c r="L31" s="5">
        <v>-0.14129544363858315</v>
      </c>
      <c r="M31" s="5"/>
      <c r="N31" s="8">
        <v>59.500000100000001</v>
      </c>
      <c r="O31" s="8">
        <v>65.339310560735299</v>
      </c>
      <c r="P31" s="8">
        <v>53.66068963926471</v>
      </c>
    </row>
    <row r="32" spans="1:16" x14ac:dyDescent="0.2">
      <c r="A32" s="7">
        <v>44663</v>
      </c>
      <c r="B32" s="4">
        <v>58.860000999999997</v>
      </c>
      <c r="C32" s="4">
        <v>59.150002000000001</v>
      </c>
      <c r="D32" s="4">
        <v>56.009998000000003</v>
      </c>
      <c r="E32" s="4">
        <v>56.650002000000001</v>
      </c>
      <c r="F32" s="6">
        <v>58.658000199999989</v>
      </c>
      <c r="G32" s="6">
        <v>59.387000100000002</v>
      </c>
      <c r="H32" s="3">
        <v>59.111999666666669</v>
      </c>
      <c r="I32" s="3">
        <v>58.204000733333331</v>
      </c>
      <c r="J32">
        <v>59.407396501008883</v>
      </c>
      <c r="K32" s="5">
        <v>59.667352884942375</v>
      </c>
      <c r="L32" s="5">
        <v>-0.25995638393349196</v>
      </c>
      <c r="M32" s="5"/>
      <c r="N32" s="8">
        <v>59.486000149999995</v>
      </c>
      <c r="O32" s="8">
        <v>65.337643625200172</v>
      </c>
      <c r="P32" s="8">
        <v>53.634356674799825</v>
      </c>
    </row>
    <row r="33" spans="1:16" x14ac:dyDescent="0.2">
      <c r="A33" s="7">
        <v>44664</v>
      </c>
      <c r="B33" s="4">
        <v>56.91</v>
      </c>
      <c r="C33" s="4">
        <v>58.169998</v>
      </c>
      <c r="D33" s="4">
        <v>56.240001999999997</v>
      </c>
      <c r="E33" s="4">
        <v>57.779998999999997</v>
      </c>
      <c r="F33" s="6">
        <v>58.312000400000002</v>
      </c>
      <c r="G33" s="6">
        <v>59.462500050000003</v>
      </c>
      <c r="H33" s="3">
        <v>58.712667133333333</v>
      </c>
      <c r="I33" s="3">
        <v>57.911333666666671</v>
      </c>
      <c r="J33">
        <v>59.157027654699817</v>
      </c>
      <c r="K33" s="5">
        <v>59.286848537971188</v>
      </c>
      <c r="L33" s="5">
        <v>-0.1298208832713712</v>
      </c>
      <c r="M33" s="5"/>
      <c r="N33" s="8">
        <v>59.622</v>
      </c>
      <c r="O33" s="8">
        <v>65.320547839767201</v>
      </c>
      <c r="P33" s="8">
        <v>53.923452160232806</v>
      </c>
    </row>
    <row r="34" spans="1:16" x14ac:dyDescent="0.2">
      <c r="A34" s="7">
        <v>44669</v>
      </c>
      <c r="B34" s="4">
        <v>57.779998999999997</v>
      </c>
      <c r="C34" s="4">
        <v>58.259998000000003</v>
      </c>
      <c r="D34" s="4">
        <v>57.150002000000001</v>
      </c>
      <c r="E34" s="4">
        <v>57.779998999999997</v>
      </c>
      <c r="F34" s="6">
        <v>57.968000199999992</v>
      </c>
      <c r="G34" s="6">
        <v>59.407000050000008</v>
      </c>
      <c r="H34" s="3">
        <v>58.202000533333333</v>
      </c>
      <c r="I34" s="3">
        <v>57.733999866666665</v>
      </c>
      <c r="J34">
        <v>58.9451770924383</v>
      </c>
      <c r="K34" s="5">
        <v>59.055025532129463</v>
      </c>
      <c r="L34" s="5">
        <v>-0.10984843969116298</v>
      </c>
      <c r="M34" s="5"/>
      <c r="N34" s="8">
        <v>59.62850005</v>
      </c>
      <c r="O34" s="8">
        <v>65.318491389241345</v>
      </c>
      <c r="P34" s="8">
        <v>53.938508710758661</v>
      </c>
    </row>
    <row r="35" spans="1:16" x14ac:dyDescent="0.2">
      <c r="A35" s="7">
        <v>44670</v>
      </c>
      <c r="B35" s="4">
        <v>57.849997999999999</v>
      </c>
      <c r="C35" s="4">
        <v>59.889999000000003</v>
      </c>
      <c r="D35" s="4">
        <v>57.639999000000003</v>
      </c>
      <c r="E35" s="4">
        <v>59.610000999999997</v>
      </c>
      <c r="F35" s="6">
        <v>58.046000200000002</v>
      </c>
      <c r="G35" s="6">
        <v>59.451500050000007</v>
      </c>
      <c r="H35" s="3">
        <v>57.810666933333337</v>
      </c>
      <c r="I35" s="3">
        <v>58.281333466666666</v>
      </c>
      <c r="J35">
        <v>59.047457693601636</v>
      </c>
      <c r="K35" s="5">
        <v>58.994423307813243</v>
      </c>
      <c r="L35" s="5">
        <v>5.3034385788393479E-2</v>
      </c>
      <c r="M35" s="5">
        <v>0.1052275278038266</v>
      </c>
      <c r="N35" s="8">
        <v>59.661000100000003</v>
      </c>
      <c r="O35" s="8">
        <v>65.313839684828068</v>
      </c>
      <c r="P35" s="8">
        <v>54.008160515171937</v>
      </c>
    </row>
    <row r="36" spans="1:16" x14ac:dyDescent="0.2">
      <c r="A36" s="7">
        <v>44671</v>
      </c>
      <c r="B36" s="4">
        <v>59.779998999999997</v>
      </c>
      <c r="C36" s="4">
        <v>59.779998999999997</v>
      </c>
      <c r="D36" s="4">
        <v>57.41</v>
      </c>
      <c r="E36" s="4">
        <v>57.610000999999997</v>
      </c>
      <c r="F36" s="6">
        <v>57.8860004</v>
      </c>
      <c r="G36" s="6">
        <v>59.433000100000001</v>
      </c>
      <c r="H36" s="3">
        <v>57.6360004</v>
      </c>
      <c r="I36" s="3">
        <v>58.1360004</v>
      </c>
      <c r="J36">
        <v>58.826310509970611</v>
      </c>
      <c r="K36" s="5">
        <v>58.940979420001511</v>
      </c>
      <c r="L36" s="5">
        <v>-0.11466891003090041</v>
      </c>
      <c r="M36" s="5">
        <v>-0.10759004411728926</v>
      </c>
      <c r="N36" s="8">
        <v>59.629000099999999</v>
      </c>
      <c r="O36" s="8">
        <v>65.290294853602532</v>
      </c>
      <c r="P36" s="8">
        <v>53.967705346397466</v>
      </c>
    </row>
    <row r="37" spans="1:16" x14ac:dyDescent="0.2">
      <c r="A37" s="7">
        <v>44672</v>
      </c>
      <c r="B37" s="4">
        <v>58.130001</v>
      </c>
      <c r="C37" s="4">
        <v>58.130001</v>
      </c>
      <c r="D37" s="4">
        <v>55.41</v>
      </c>
      <c r="E37" s="4">
        <v>55.84</v>
      </c>
      <c r="F37" s="6">
        <v>57.724000000000004</v>
      </c>
      <c r="G37" s="6">
        <v>59.260500049999983</v>
      </c>
      <c r="H37" s="3">
        <v>57.993999733333332</v>
      </c>
      <c r="I37" s="3">
        <v>57.454000266666668</v>
      </c>
      <c r="J37">
        <v>58.366878123821287</v>
      </c>
      <c r="K37" s="5">
        <v>58.605102324046861</v>
      </c>
      <c r="L37" s="5">
        <v>-0.23822420022557367</v>
      </c>
      <c r="M37" s="5">
        <v>-0.12356699332874793</v>
      </c>
      <c r="N37" s="8">
        <v>59.606999950000002</v>
      </c>
      <c r="O37" s="8">
        <v>65.304633451247398</v>
      </c>
      <c r="P37" s="8">
        <v>53.909366448752607</v>
      </c>
    </row>
    <row r="38" spans="1:16" x14ac:dyDescent="0.2">
      <c r="A38" s="7">
        <v>44673</v>
      </c>
      <c r="B38" s="4">
        <v>56.110000999999997</v>
      </c>
      <c r="C38" s="4">
        <v>56.860000999999997</v>
      </c>
      <c r="D38" s="4">
        <v>55.810001</v>
      </c>
      <c r="E38" s="4">
        <v>55.990001999999997</v>
      </c>
      <c r="F38" s="6">
        <v>57.366000599999992</v>
      </c>
      <c r="G38" s="6">
        <v>59.185500049999987</v>
      </c>
      <c r="H38" s="3">
        <v>57.856000266666662</v>
      </c>
      <c r="I38" s="3">
        <v>56.876000933333337</v>
      </c>
      <c r="J38">
        <v>58.001204874002624</v>
      </c>
      <c r="K38" s="5">
        <v>58.190813225760451</v>
      </c>
      <c r="L38" s="5">
        <v>-0.1896083517578262</v>
      </c>
      <c r="M38" s="5">
        <v>-0.13566778004676966</v>
      </c>
      <c r="N38" s="8">
        <v>59.637999899999997</v>
      </c>
      <c r="O38" s="8">
        <v>65.255519245986875</v>
      </c>
      <c r="P38" s="8">
        <v>54.020480554013126</v>
      </c>
    </row>
    <row r="39" spans="1:16" x14ac:dyDescent="0.2">
      <c r="A39" s="7">
        <v>44676</v>
      </c>
      <c r="B39" s="4">
        <v>56.040000999999997</v>
      </c>
      <c r="C39" s="4">
        <v>57.380001</v>
      </c>
      <c r="D39" s="4">
        <v>55.27</v>
      </c>
      <c r="E39" s="4">
        <v>56.139999000000003</v>
      </c>
      <c r="F39" s="6">
        <v>57.038000599999997</v>
      </c>
      <c r="G39" s="6">
        <v>59.105999999999995</v>
      </c>
      <c r="H39" s="3">
        <v>57.60866746666666</v>
      </c>
      <c r="I39" s="3">
        <v>56.467333733333327</v>
      </c>
      <c r="J39">
        <v>57.714865508771453</v>
      </c>
      <c r="K39" s="5">
        <v>57.863337772224654</v>
      </c>
      <c r="L39" s="5">
        <v>-0.14847226345320053</v>
      </c>
      <c r="M39" s="5">
        <v>-0.14209561002374629</v>
      </c>
      <c r="N39" s="8">
        <v>59.726999800000002</v>
      </c>
      <c r="O39" s="8">
        <v>65.15434968962667</v>
      </c>
      <c r="P39" s="8">
        <v>54.29964991037334</v>
      </c>
    </row>
    <row r="40" spans="1:16" x14ac:dyDescent="0.2">
      <c r="A40" s="7">
        <v>44677</v>
      </c>
      <c r="B40" s="4">
        <v>56.16</v>
      </c>
      <c r="C40" s="4">
        <v>57.240001999999997</v>
      </c>
      <c r="D40" s="4">
        <v>54.509998000000003</v>
      </c>
      <c r="E40" s="4">
        <v>56.189999</v>
      </c>
      <c r="F40" s="6">
        <v>56.354000199999994</v>
      </c>
      <c r="G40" s="6">
        <v>59.0015</v>
      </c>
      <c r="H40" s="3">
        <v>56.523333866666661</v>
      </c>
      <c r="I40" s="3">
        <v>56.184666533333328</v>
      </c>
      <c r="J40">
        <v>57.480270661268158</v>
      </c>
      <c r="K40" s="5">
        <v>57.601912434047641</v>
      </c>
      <c r="L40" s="5">
        <v>-0.1216417727794834</v>
      </c>
      <c r="M40" s="5">
        <v>-0.13991186881717965</v>
      </c>
      <c r="N40" s="8">
        <v>59.845999849999998</v>
      </c>
      <c r="O40" s="8">
        <v>65.041618570179821</v>
      </c>
      <c r="P40" s="8">
        <v>54.650381129820175</v>
      </c>
    </row>
    <row r="41" spans="1:16" x14ac:dyDescent="0.2">
      <c r="A41" s="7">
        <v>44678</v>
      </c>
      <c r="B41" s="4">
        <v>56.689999</v>
      </c>
      <c r="C41" s="4">
        <v>62.529998999999997</v>
      </c>
      <c r="D41" s="4">
        <v>55.68</v>
      </c>
      <c r="E41" s="4">
        <v>61.490001999999997</v>
      </c>
      <c r="F41" s="6">
        <v>57.130000400000007</v>
      </c>
      <c r="G41" s="6">
        <v>59.115000049999992</v>
      </c>
      <c r="H41" s="3">
        <v>56.363333666666662</v>
      </c>
      <c r="I41" s="3">
        <v>57.896667133333338</v>
      </c>
      <c r="J41">
        <v>58.097152405688448</v>
      </c>
      <c r="K41" s="5">
        <v>57.777287797470521</v>
      </c>
      <c r="L41" s="5">
        <v>0.31986460821792662</v>
      </c>
      <c r="M41" s="5">
        <v>-7.5487314133688699E-2</v>
      </c>
      <c r="N41" s="8">
        <v>59.941499799999988</v>
      </c>
      <c r="O41" s="8">
        <v>64.919840918591859</v>
      </c>
      <c r="P41" s="8">
        <v>54.963158681408117</v>
      </c>
    </row>
    <row r="42" spans="1:16" x14ac:dyDescent="0.2">
      <c r="A42" s="7">
        <v>44679</v>
      </c>
      <c r="B42" s="4">
        <v>62.150002000000001</v>
      </c>
      <c r="C42" s="4">
        <v>63.290000999999997</v>
      </c>
      <c r="D42" s="4">
        <v>60.18</v>
      </c>
      <c r="E42" s="4">
        <v>62.610000999999997</v>
      </c>
      <c r="F42" s="6">
        <v>58.484000600000002</v>
      </c>
      <c r="G42" s="6">
        <v>59.215500199999994</v>
      </c>
      <c r="H42" s="3">
        <v>57.244667200000002</v>
      </c>
      <c r="I42" s="3">
        <v>59.723334000000001</v>
      </c>
      <c r="J42">
        <v>58.791436804813301</v>
      </c>
      <c r="K42" s="5">
        <v>58.431437486748564</v>
      </c>
      <c r="L42" s="5">
        <v>0.35999931806473739</v>
      </c>
      <c r="M42" s="5">
        <v>-2.106284731856552E-2</v>
      </c>
      <c r="N42" s="8">
        <v>59.843999750000002</v>
      </c>
      <c r="O42" s="8">
        <v>64.770761223295224</v>
      </c>
      <c r="P42" s="8">
        <v>54.917238276704786</v>
      </c>
    </row>
    <row r="43" spans="1:16" x14ac:dyDescent="0.2">
      <c r="A43" s="7">
        <v>44680</v>
      </c>
      <c r="B43" s="4">
        <v>62.189999</v>
      </c>
      <c r="C43" s="4">
        <v>63.509998000000003</v>
      </c>
      <c r="D43" s="4">
        <v>61.720001000000003</v>
      </c>
      <c r="E43" s="4">
        <v>62.900002000000001</v>
      </c>
      <c r="F43" s="6">
        <v>59.866000600000007</v>
      </c>
      <c r="G43" s="6">
        <v>59.354500350000002</v>
      </c>
      <c r="H43" s="3">
        <v>58.536666733333327</v>
      </c>
      <c r="I43" s="3">
        <v>61.195334466666665</v>
      </c>
      <c r="J43">
        <v>59.42352375791895</v>
      </c>
      <c r="K43" s="5">
        <v>59.095774967419722</v>
      </c>
      <c r="L43" s="5">
        <v>0.32774879049922845</v>
      </c>
      <c r="M43" s="5">
        <v>2.7559067147033527E-2</v>
      </c>
      <c r="N43" s="8">
        <v>59.771499700000007</v>
      </c>
      <c r="O43" s="8">
        <v>64.56782761596682</v>
      </c>
      <c r="P43" s="8">
        <v>54.975171784033193</v>
      </c>
    </row>
    <row r="44" spans="1:16" x14ac:dyDescent="0.2">
      <c r="A44" s="7">
        <v>44683</v>
      </c>
      <c r="B44" s="4">
        <v>62.98</v>
      </c>
      <c r="C44" s="4">
        <v>67.400002000000001</v>
      </c>
      <c r="D44" s="4">
        <v>62.029998999999997</v>
      </c>
      <c r="E44" s="4">
        <v>67.089995999999999</v>
      </c>
      <c r="F44" s="6">
        <v>62.056000000000004</v>
      </c>
      <c r="G44" s="6">
        <v>59.706000099999997</v>
      </c>
      <c r="H44" s="3">
        <v>60.508667066666668</v>
      </c>
      <c r="I44" s="3">
        <v>63.603332933333334</v>
      </c>
      <c r="J44">
        <v>60.60298102593142</v>
      </c>
      <c r="K44" s="5">
        <v>59.991410590665694</v>
      </c>
      <c r="L44" s="5">
        <v>0.61157043526572608</v>
      </c>
      <c r="M44" s="5">
        <v>8.961862820007048E-2</v>
      </c>
      <c r="N44" s="8">
        <v>59.698499549999994</v>
      </c>
      <c r="O44" s="8">
        <v>64.336157757896615</v>
      </c>
      <c r="P44" s="8">
        <v>55.060841342103373</v>
      </c>
    </row>
    <row r="45" spans="1:16" x14ac:dyDescent="0.2">
      <c r="A45" s="7">
        <v>44684</v>
      </c>
      <c r="B45" s="4">
        <v>66.989998</v>
      </c>
      <c r="C45" s="4">
        <v>66.989998</v>
      </c>
      <c r="D45" s="4">
        <v>60.66</v>
      </c>
      <c r="E45" s="4">
        <v>62.049999</v>
      </c>
      <c r="F45" s="6">
        <v>63.227999999999994</v>
      </c>
      <c r="G45" s="6">
        <v>59.659500050000005</v>
      </c>
      <c r="H45" s="3">
        <v>62.854667399999997</v>
      </c>
      <c r="I45" s="3">
        <v>63.601332599999999</v>
      </c>
      <c r="J45">
        <v>60.82559917578812</v>
      </c>
      <c r="K45" s="5">
        <v>60.710167542529092</v>
      </c>
      <c r="L45" s="5">
        <v>0.11543163325902839</v>
      </c>
      <c r="M45" s="5">
        <v>0.11518535523228479</v>
      </c>
      <c r="N45" s="8">
        <v>59.398499749999985</v>
      </c>
      <c r="O45" s="8">
        <v>62.566246948347192</v>
      </c>
      <c r="P45" s="8">
        <v>56.230752551652778</v>
      </c>
    </row>
    <row r="46" spans="1:16" x14ac:dyDescent="0.2">
      <c r="A46" s="7">
        <v>44685</v>
      </c>
      <c r="B46" s="4">
        <v>62.599997999999999</v>
      </c>
      <c r="C46" s="4">
        <v>62.599997999999999</v>
      </c>
      <c r="D46" s="4">
        <v>58.360000999999997</v>
      </c>
      <c r="E46" s="4">
        <v>59.290000999999997</v>
      </c>
      <c r="F46" s="6">
        <v>62.787999800000001</v>
      </c>
      <c r="G46" s="6">
        <v>59.408000100000002</v>
      </c>
      <c r="H46" s="3">
        <v>63.287333333333322</v>
      </c>
      <c r="I46" s="3">
        <v>62.288666266666667</v>
      </c>
      <c r="J46">
        <v>60.589353302589949</v>
      </c>
      <c r="K46" s="5">
        <v>60.711851162766777</v>
      </c>
      <c r="L46" s="5">
        <v>-0.12249786017682851</v>
      </c>
      <c r="M46" s="5">
        <v>0.12804383745992315</v>
      </c>
      <c r="N46" s="8">
        <v>59.531999849999991</v>
      </c>
      <c r="O46" s="8">
        <v>63.332164326551933</v>
      </c>
      <c r="P46" s="8">
        <v>55.73183537344805</v>
      </c>
    </row>
    <row r="47" spans="1:16" x14ac:dyDescent="0.2">
      <c r="A47" s="7">
        <v>44686</v>
      </c>
      <c r="B47" s="4">
        <v>58.959999000000003</v>
      </c>
      <c r="C47" s="4">
        <v>61.279998999999997</v>
      </c>
      <c r="D47" s="4">
        <v>57.509998000000003</v>
      </c>
      <c r="E47" s="4">
        <v>60.709999000000003</v>
      </c>
      <c r="F47" s="6">
        <v>62.407999400000008</v>
      </c>
      <c r="G47" s="6">
        <v>59.318500049999997</v>
      </c>
      <c r="H47" s="3">
        <v>63.219999466666671</v>
      </c>
      <c r="I47" s="3">
        <v>61.595999333333332</v>
      </c>
      <c r="J47">
        <v>60.607914179114573</v>
      </c>
      <c r="K47" s="5">
        <v>60.598290020916622</v>
      </c>
      <c r="L47" s="5">
        <v>9.6241581979512603E-3</v>
      </c>
      <c r="M47" s="5">
        <v>0.15018078301056509</v>
      </c>
      <c r="N47" s="8">
        <v>59.800499999999985</v>
      </c>
      <c r="O47" s="8">
        <v>64.23462494755556</v>
      </c>
      <c r="P47" s="8">
        <v>55.366375052444411</v>
      </c>
    </row>
    <row r="48" spans="1:16" x14ac:dyDescent="0.2">
      <c r="A48" s="7">
        <v>44687</v>
      </c>
      <c r="B48" s="4">
        <v>59.709999000000003</v>
      </c>
      <c r="C48" s="4">
        <v>63.23</v>
      </c>
      <c r="D48" s="4">
        <v>59.709999000000003</v>
      </c>
      <c r="E48" s="4">
        <v>61.259998000000003</v>
      </c>
      <c r="F48" s="6">
        <v>62.079998599999996</v>
      </c>
      <c r="G48" s="6">
        <v>59.406000049999989</v>
      </c>
      <c r="H48" s="3">
        <v>62.946664999999996</v>
      </c>
      <c r="I48" s="3">
        <v>61.213332199999996</v>
      </c>
      <c r="J48">
        <v>60.708234766943107</v>
      </c>
      <c r="K48" s="5">
        <v>60.656216684365347</v>
      </c>
      <c r="L48" s="5">
        <v>5.2018082577760083E-2</v>
      </c>
      <c r="M48" s="5">
        <v>0.17245748812511627</v>
      </c>
      <c r="N48" s="8">
        <v>59.889000050000007</v>
      </c>
      <c r="O48" s="8">
        <v>64.467849385621776</v>
      </c>
      <c r="P48" s="8">
        <v>55.310150714378231</v>
      </c>
    </row>
    <row r="49" spans="1:16" x14ac:dyDescent="0.2">
      <c r="A49" s="7">
        <v>44690</v>
      </c>
      <c r="B49" s="4">
        <v>61.040000999999997</v>
      </c>
      <c r="C49" s="4">
        <v>63.900002000000001</v>
      </c>
      <c r="D49" s="4">
        <v>60.200001</v>
      </c>
      <c r="E49" s="4">
        <v>60.330002</v>
      </c>
      <c r="F49" s="6">
        <v>60.727999799999999</v>
      </c>
      <c r="G49" s="6">
        <v>59.447500149999982</v>
      </c>
      <c r="H49" s="3">
        <v>60.825999599999996</v>
      </c>
      <c r="I49" s="3">
        <v>60.629999999999995</v>
      </c>
      <c r="J49">
        <v>60.650045110490325</v>
      </c>
      <c r="K49" s="5">
        <v>60.680217524947324</v>
      </c>
      <c r="L49" s="5">
        <v>-3.0172414456998808E-2</v>
      </c>
      <c r="M49" s="5">
        <v>0.18262075016094789</v>
      </c>
      <c r="N49" s="8">
        <v>59.935000150000008</v>
      </c>
      <c r="O49" s="8">
        <v>64.58969932825066</v>
      </c>
      <c r="P49" s="8">
        <v>55.280300971749362</v>
      </c>
    </row>
    <row r="50" spans="1:16" x14ac:dyDescent="0.2">
      <c r="A50" s="7">
        <v>44691</v>
      </c>
      <c r="B50" s="4">
        <v>60.810001</v>
      </c>
      <c r="C50" s="4">
        <v>61.18</v>
      </c>
      <c r="D50" s="4">
        <v>59.560001</v>
      </c>
      <c r="E50" s="4">
        <v>60.27</v>
      </c>
      <c r="F50" s="6">
        <v>60.372</v>
      </c>
      <c r="G50" s="6">
        <v>59.500000100000001</v>
      </c>
      <c r="H50" s="3">
        <v>60.266666600000001</v>
      </c>
      <c r="I50" s="3">
        <v>60.477333400000006</v>
      </c>
      <c r="J50">
        <v>60.591576631953352</v>
      </c>
      <c r="K50" s="5">
        <v>60.621893620824373</v>
      </c>
      <c r="L50" s="5">
        <v>-3.0316988871021522E-2</v>
      </c>
      <c r="M50" s="5">
        <v>0.14371168381773142</v>
      </c>
      <c r="N50" s="8">
        <v>60.090499999999999</v>
      </c>
      <c r="O50" s="8">
        <v>65.001496307965297</v>
      </c>
      <c r="P50" s="8">
        <v>55.1795036920347</v>
      </c>
    </row>
    <row r="51" spans="1:16" x14ac:dyDescent="0.2">
      <c r="A51" s="7">
        <v>44692</v>
      </c>
      <c r="B51" s="4">
        <v>60.290000999999997</v>
      </c>
      <c r="C51" s="4">
        <v>60.77</v>
      </c>
      <c r="D51" s="4">
        <v>57.82</v>
      </c>
      <c r="E51" s="4">
        <v>58.130001</v>
      </c>
      <c r="F51" s="6">
        <v>60.140000000000008</v>
      </c>
      <c r="G51" s="6">
        <v>59.486000149999995</v>
      </c>
      <c r="H51" s="3">
        <v>60.5499996</v>
      </c>
      <c r="I51" s="3">
        <v>59.730000399999994</v>
      </c>
      <c r="J51">
        <v>60.212872688575914</v>
      </c>
      <c r="K51" s="5">
        <v>60.409237696253101</v>
      </c>
      <c r="L51" s="5">
        <v>-0.19636500767718701</v>
      </c>
      <c r="M51" s="5">
        <v>8.1893425401962039E-2</v>
      </c>
      <c r="N51" s="8">
        <v>60.255499999999998</v>
      </c>
      <c r="O51" s="8">
        <v>65.407712657020724</v>
      </c>
      <c r="P51" s="8">
        <v>55.103287342979264</v>
      </c>
    </row>
    <row r="52" spans="1:16" x14ac:dyDescent="0.2">
      <c r="A52" s="7">
        <v>44693</v>
      </c>
      <c r="B52" s="4">
        <v>57.889999000000003</v>
      </c>
      <c r="C52" s="4">
        <v>59.650002000000001</v>
      </c>
      <c r="D52" s="4">
        <v>56.990001999999997</v>
      </c>
      <c r="E52" s="4">
        <v>59.369999</v>
      </c>
      <c r="F52" s="6">
        <v>59.872</v>
      </c>
      <c r="G52" s="6">
        <v>59.622</v>
      </c>
      <c r="H52" s="3">
        <v>60.270666599999998</v>
      </c>
      <c r="I52" s="3">
        <v>59.473333400000001</v>
      </c>
      <c r="J52">
        <v>60.083199813410388</v>
      </c>
      <c r="K52" s="5">
        <v>60.150437600533252</v>
      </c>
      <c r="L52" s="5">
        <v>-6.7237787122863324E-2</v>
      </c>
      <c r="M52" s="5">
        <v>3.8006027888396292E-2</v>
      </c>
      <c r="N52" s="8">
        <v>60.509999999999977</v>
      </c>
      <c r="O52" s="8">
        <v>65.722641873470607</v>
      </c>
      <c r="P52" s="8">
        <v>55.297358126529346</v>
      </c>
    </row>
    <row r="53" spans="1:16" x14ac:dyDescent="0.2">
      <c r="A53" s="7">
        <v>44694</v>
      </c>
      <c r="B53" s="4">
        <v>60</v>
      </c>
      <c r="C53" s="4">
        <v>61.009998000000003</v>
      </c>
      <c r="D53" s="4">
        <v>55.799999</v>
      </c>
      <c r="E53" s="4">
        <v>57.91</v>
      </c>
      <c r="F53" s="6">
        <v>59.202000399999996</v>
      </c>
      <c r="G53" s="6">
        <v>59.62850005</v>
      </c>
      <c r="H53" s="3">
        <v>59.584667400000001</v>
      </c>
      <c r="I53" s="3">
        <v>58.819333399999991</v>
      </c>
      <c r="J53">
        <v>59.74886138057802</v>
      </c>
      <c r="K53" s="5">
        <v>59.922222049454064</v>
      </c>
      <c r="L53" s="5">
        <v>-0.17336066887604318</v>
      </c>
      <c r="M53" s="5">
        <v>-4.9208539238466957E-2</v>
      </c>
      <c r="N53" s="8">
        <v>60.767499899999983</v>
      </c>
      <c r="O53" s="8">
        <v>66.245102475273214</v>
      </c>
      <c r="P53" s="8">
        <v>55.289897324726752</v>
      </c>
    </row>
    <row r="54" spans="1:16" x14ac:dyDescent="0.2">
      <c r="A54" s="7">
        <v>44697</v>
      </c>
      <c r="B54" s="4">
        <v>57.860000999999997</v>
      </c>
      <c r="C54" s="4">
        <v>59.349997999999999</v>
      </c>
      <c r="D54" s="4">
        <v>56.610000999999997</v>
      </c>
      <c r="E54" s="4">
        <v>58.43</v>
      </c>
      <c r="F54" s="6">
        <v>58.822000000000003</v>
      </c>
      <c r="G54" s="6">
        <v>59.661000100000003</v>
      </c>
      <c r="H54" s="3">
        <v>59.082000066666666</v>
      </c>
      <c r="I54" s="3">
        <v>58.561999933333333</v>
      </c>
      <c r="J54">
        <v>59.54595962971986</v>
      </c>
      <c r="K54" s="5">
        <v>59.651167944979647</v>
      </c>
      <c r="L54" s="5">
        <v>-0.10520831525978735</v>
      </c>
      <c r="M54" s="5">
        <v>-7.3724089073890928E-2</v>
      </c>
      <c r="N54" s="8">
        <v>60.941999999999993</v>
      </c>
      <c r="O54" s="8">
        <v>66.256238369949244</v>
      </c>
      <c r="P54" s="8">
        <v>55.627761630050749</v>
      </c>
    </row>
    <row r="55" spans="1:16" x14ac:dyDescent="0.2">
      <c r="A55" s="7">
        <v>44698</v>
      </c>
      <c r="B55" s="4">
        <v>58.509998000000003</v>
      </c>
      <c r="C55" s="4">
        <v>59.470001000000003</v>
      </c>
      <c r="D55" s="4">
        <v>57.27</v>
      </c>
      <c r="E55" s="4">
        <v>58.970001000000003</v>
      </c>
      <c r="F55" s="6">
        <v>58.5620002</v>
      </c>
      <c r="G55" s="6">
        <v>59.629000099999999</v>
      </c>
      <c r="H55" s="3">
        <v>58.512666799999998</v>
      </c>
      <c r="I55" s="3">
        <v>58.611333600000002</v>
      </c>
      <c r="J55">
        <v>59.457350609762962</v>
      </c>
      <c r="K55" s="5">
        <v>59.503296027518388</v>
      </c>
      <c r="L55" s="5">
        <v>-4.5945417755426377E-2</v>
      </c>
      <c r="M55" s="5">
        <v>-6.5218262138179578E-2</v>
      </c>
      <c r="N55" s="8">
        <v>61.135000050000016</v>
      </c>
      <c r="O55" s="8">
        <v>66.34445192964391</v>
      </c>
      <c r="P55" s="8">
        <v>55.92554817035613</v>
      </c>
    </row>
    <row r="56" spans="1:16" x14ac:dyDescent="0.2">
      <c r="A56" s="7">
        <v>44699</v>
      </c>
      <c r="B56" s="4">
        <v>58.599997999999999</v>
      </c>
      <c r="C56" s="4">
        <v>58.700001</v>
      </c>
      <c r="D56" s="4">
        <v>56.919998</v>
      </c>
      <c r="E56" s="4">
        <v>57.169998</v>
      </c>
      <c r="F56" s="6">
        <v>58.369999600000007</v>
      </c>
      <c r="G56" s="6">
        <v>59.606999950000002</v>
      </c>
      <c r="H56" s="3">
        <v>58.592666333333334</v>
      </c>
      <c r="I56" s="3">
        <v>58.147332866666666</v>
      </c>
      <c r="J56">
        <v>59.105450208260969</v>
      </c>
      <c r="K56" s="5">
        <v>59.287917083113854</v>
      </c>
      <c r="L56" s="5">
        <v>-0.18246687485288504</v>
      </c>
      <c r="M56" s="5">
        <v>-8.6561710254939167E-2</v>
      </c>
      <c r="N56" s="8">
        <v>61.222500050000008</v>
      </c>
      <c r="O56" s="8">
        <v>66.336757222691901</v>
      </c>
      <c r="P56" s="8">
        <v>56.108242877308115</v>
      </c>
    </row>
    <row r="57" spans="1:16" x14ac:dyDescent="0.2">
      <c r="A57" s="7">
        <v>44700</v>
      </c>
      <c r="B57" s="4">
        <v>57.07</v>
      </c>
      <c r="C57" s="4">
        <v>57.560001</v>
      </c>
      <c r="D57" s="4">
        <v>56.299999</v>
      </c>
      <c r="E57" s="4">
        <v>56.459999000000003</v>
      </c>
      <c r="F57" s="6">
        <v>57.787999599999999</v>
      </c>
      <c r="G57" s="6">
        <v>59.637999899999997</v>
      </c>
      <c r="H57" s="3">
        <v>58.065333199999991</v>
      </c>
      <c r="I57" s="3">
        <v>57.510666000000001</v>
      </c>
      <c r="J57">
        <v>58.698457714682355</v>
      </c>
      <c r="K57" s="5">
        <v>58.909490859500899</v>
      </c>
      <c r="L57" s="5">
        <v>-0.21103314481854341</v>
      </c>
      <c r="M57" s="5">
        <v>-0.115789624410084</v>
      </c>
      <c r="N57" s="8">
        <v>61.49400004999999</v>
      </c>
      <c r="O57" s="8">
        <v>66.267605291810526</v>
      </c>
      <c r="P57" s="8">
        <v>56.720394808189454</v>
      </c>
    </row>
    <row r="58" spans="1:16" x14ac:dyDescent="0.2">
      <c r="A58" s="7">
        <v>44701</v>
      </c>
      <c r="B58" s="4">
        <v>56.900002000000001</v>
      </c>
      <c r="C58" s="4">
        <v>58.439999</v>
      </c>
      <c r="D58" s="4">
        <v>56.610000999999997</v>
      </c>
      <c r="E58" s="4">
        <v>57.77</v>
      </c>
      <c r="F58" s="6">
        <v>57.7599996</v>
      </c>
      <c r="G58" s="6">
        <v>59.726999800000002</v>
      </c>
      <c r="H58" s="3">
        <v>58.01533306666667</v>
      </c>
      <c r="I58" s="3">
        <v>57.504666133333338</v>
      </c>
      <c r="J58">
        <v>58.555618066269687</v>
      </c>
      <c r="K58" s="5">
        <v>58.629683069150332</v>
      </c>
      <c r="L58" s="5">
        <v>-7.4065002880644215E-2</v>
      </c>
      <c r="M58" s="5">
        <v>-0.12066657867937794</v>
      </c>
      <c r="N58" s="8">
        <v>61.802500149999993</v>
      </c>
      <c r="O58" s="8">
        <v>65.964624952120957</v>
      </c>
      <c r="P58" s="8">
        <v>57.640375347879036</v>
      </c>
    </row>
    <row r="59" spans="1:16" x14ac:dyDescent="0.2">
      <c r="A59" s="7">
        <v>44704</v>
      </c>
      <c r="B59" s="4">
        <v>58.040000999999997</v>
      </c>
      <c r="C59" s="4">
        <v>59.990001999999997</v>
      </c>
      <c r="D59" s="4">
        <v>57.07</v>
      </c>
      <c r="E59" s="4">
        <v>58.52</v>
      </c>
      <c r="F59" s="6">
        <v>57.777999600000001</v>
      </c>
      <c r="G59" s="6">
        <v>59.845999849999998</v>
      </c>
      <c r="H59" s="3">
        <v>57.797999599999997</v>
      </c>
      <c r="I59" s="3">
        <v>57.757999599999998</v>
      </c>
      <c r="J59">
        <v>58.550138363766663</v>
      </c>
      <c r="K59" s="5">
        <v>58.552979690990448</v>
      </c>
      <c r="L59" s="5">
        <v>-2.8413272237841625E-3</v>
      </c>
      <c r="M59" s="5">
        <v>-0.11761372738524045</v>
      </c>
      <c r="N59" s="8">
        <v>62.039500049999994</v>
      </c>
      <c r="O59" s="8">
        <v>65.750130875105185</v>
      </c>
      <c r="P59" s="8">
        <v>58.328869224894802</v>
      </c>
    </row>
    <row r="60" spans="1:16" x14ac:dyDescent="0.2">
      <c r="A60" s="7">
        <v>44705</v>
      </c>
      <c r="B60" s="4">
        <v>58.009998000000003</v>
      </c>
      <c r="C60" s="4">
        <v>59.299999</v>
      </c>
      <c r="D60" s="4">
        <v>57.02</v>
      </c>
      <c r="E60" s="4">
        <v>58.099997999999999</v>
      </c>
      <c r="F60" s="6">
        <v>57.603999000000002</v>
      </c>
      <c r="G60" s="6">
        <v>59.941499799999988</v>
      </c>
      <c r="H60" s="3">
        <v>57.342665599999997</v>
      </c>
      <c r="I60" s="3">
        <v>57.8653324</v>
      </c>
      <c r="J60">
        <v>58.48088600011026</v>
      </c>
      <c r="K60" s="5">
        <v>58.516794633117286</v>
      </c>
      <c r="L60" s="5">
        <v>-3.5908633007025514E-2</v>
      </c>
      <c r="M60" s="5">
        <v>-9.9785241310778067E-2</v>
      </c>
      <c r="N60" s="8">
        <v>62.319000099999997</v>
      </c>
      <c r="O60" s="8">
        <v>65.744581828363039</v>
      </c>
      <c r="P60" s="8">
        <v>58.893418371636962</v>
      </c>
    </row>
    <row r="61" spans="1:16" x14ac:dyDescent="0.2">
      <c r="A61" s="7">
        <v>44706</v>
      </c>
      <c r="B61" s="4">
        <v>58.099997999999999</v>
      </c>
      <c r="C61" s="4">
        <v>60.099997999999999</v>
      </c>
      <c r="D61" s="4">
        <v>57.610000999999997</v>
      </c>
      <c r="E61" s="4">
        <v>59.540000999999997</v>
      </c>
      <c r="F61" s="6">
        <v>58.077999599999998</v>
      </c>
      <c r="G61" s="6">
        <v>59.843999750000002</v>
      </c>
      <c r="H61" s="3">
        <v>57.645332799999998</v>
      </c>
      <c r="I61" s="3">
        <v>58.510666399999998</v>
      </c>
      <c r="J61">
        <v>58.643826769324065</v>
      </c>
      <c r="K61" s="5">
        <v>58.559338963065059</v>
      </c>
      <c r="L61" s="5">
        <v>8.4487806259005538E-2</v>
      </c>
      <c r="M61" s="5">
        <v>-8.2926842046125965E-2</v>
      </c>
      <c r="N61" s="8">
        <v>62.499000250000009</v>
      </c>
      <c r="O61" s="8">
        <v>65.315290397658643</v>
      </c>
      <c r="P61" s="8">
        <v>59.682710102341375</v>
      </c>
    </row>
    <row r="62" spans="1:16" x14ac:dyDescent="0.2">
      <c r="A62" s="7">
        <v>44707</v>
      </c>
      <c r="B62" s="4">
        <v>59.110000999999997</v>
      </c>
      <c r="C62" s="4">
        <v>61.900002000000001</v>
      </c>
      <c r="D62" s="4">
        <v>58.599997999999999</v>
      </c>
      <c r="E62" s="4">
        <v>61.16</v>
      </c>
      <c r="F62" s="6">
        <v>59.017999799999998</v>
      </c>
      <c r="G62" s="6">
        <v>59.771499700000007</v>
      </c>
      <c r="H62" s="3">
        <v>58.497999733333337</v>
      </c>
      <c r="I62" s="3">
        <v>59.537999866666659</v>
      </c>
      <c r="J62">
        <v>59.030930343274207</v>
      </c>
      <c r="K62" s="5">
        <v>58.830209971596354</v>
      </c>
      <c r="L62" s="5">
        <v>0.20072037167785339</v>
      </c>
      <c r="M62" s="5">
        <v>-4.1362281984581903E-2</v>
      </c>
      <c r="N62" s="8">
        <v>62.696500300000004</v>
      </c>
      <c r="O62" s="8">
        <v>65.17252686826356</v>
      </c>
      <c r="P62" s="8">
        <v>60.220473731736455</v>
      </c>
    </row>
    <row r="63" spans="1:16" x14ac:dyDescent="0.2">
      <c r="A63" s="7">
        <v>44708</v>
      </c>
      <c r="B63" s="4">
        <v>61.240001999999997</v>
      </c>
      <c r="C63" s="4">
        <v>62.439999</v>
      </c>
      <c r="D63" s="4">
        <v>60.57</v>
      </c>
      <c r="E63" s="4">
        <v>61.439999</v>
      </c>
      <c r="F63" s="6">
        <v>59.751999599999998</v>
      </c>
      <c r="G63" s="6">
        <v>59.698499549999994</v>
      </c>
      <c r="H63" s="3">
        <v>59.158666266666664</v>
      </c>
      <c r="I63" s="3">
        <v>60.345332933333331</v>
      </c>
      <c r="J63">
        <v>59.401556290462793</v>
      </c>
      <c r="K63" s="5">
        <v>59.209379873402042</v>
      </c>
      <c r="L63" s="5">
        <v>0.19217641706075028</v>
      </c>
      <c r="M63" s="5">
        <v>-8.3195339489666106E-3</v>
      </c>
      <c r="N63" s="8">
        <v>62.812500299999996</v>
      </c>
      <c r="O63" s="8">
        <v>65.201280193367637</v>
      </c>
      <c r="P63" s="8">
        <v>60.423720406632356</v>
      </c>
    </row>
    <row r="64" spans="1:16" x14ac:dyDescent="0.2">
      <c r="A64" s="7">
        <v>44711</v>
      </c>
      <c r="B64" s="4">
        <v>61</v>
      </c>
      <c r="C64" s="4">
        <v>62.27</v>
      </c>
      <c r="D64" s="4">
        <v>60</v>
      </c>
      <c r="E64" s="4">
        <v>61.09</v>
      </c>
      <c r="F64" s="6">
        <v>60.265999600000001</v>
      </c>
      <c r="G64" s="6">
        <v>59.398499749999985</v>
      </c>
      <c r="H64" s="3">
        <v>59.74066613333332</v>
      </c>
      <c r="I64" s="3">
        <v>60.791333066666667</v>
      </c>
      <c r="J64">
        <v>59.661316861160827</v>
      </c>
      <c r="K64" s="5">
        <v>59.526626194872961</v>
      </c>
      <c r="L64" s="5">
        <v>0.13469066628786663</v>
      </c>
      <c r="M64" s="5">
        <v>1.1751142055843723E-2</v>
      </c>
      <c r="N64" s="8">
        <v>62.931000400000002</v>
      </c>
      <c r="O64" s="8">
        <v>65.267672883594742</v>
      </c>
      <c r="P64" s="8">
        <v>60.594327916405263</v>
      </c>
    </row>
    <row r="65" spans="1:16" x14ac:dyDescent="0.2">
      <c r="A65" s="7">
        <v>44712</v>
      </c>
      <c r="B65" s="4">
        <v>61</v>
      </c>
      <c r="C65" s="4">
        <v>65.879997000000003</v>
      </c>
      <c r="D65" s="4">
        <v>60.279998999999997</v>
      </c>
      <c r="E65" s="4">
        <v>64.720000999999996</v>
      </c>
      <c r="F65" s="6">
        <v>61.590000199999999</v>
      </c>
      <c r="G65" s="6">
        <v>59.531999849999991</v>
      </c>
      <c r="H65" s="3">
        <v>60.904000199999992</v>
      </c>
      <c r="I65" s="3">
        <v>62.276000199999999</v>
      </c>
      <c r="J65">
        <v>60.439575959443772</v>
      </c>
      <c r="K65" s="5">
        <v>60.036034204778545</v>
      </c>
      <c r="L65" s="5">
        <v>0.4035417546652269</v>
      </c>
      <c r="M65" s="5">
        <v>7.6863212002300604E-2</v>
      </c>
      <c r="N65" s="8">
        <v>63.174500350000002</v>
      </c>
      <c r="O65" s="8">
        <v>65.709928786215102</v>
      </c>
      <c r="P65" s="8">
        <v>60.63907191378491</v>
      </c>
    </row>
    <row r="66" spans="1:16" x14ac:dyDescent="0.2">
      <c r="A66" s="7">
        <v>44713</v>
      </c>
      <c r="B66" s="4">
        <v>64.529999000000004</v>
      </c>
      <c r="C66" s="4">
        <v>65.790001000000004</v>
      </c>
      <c r="D66" s="4">
        <v>62.049999</v>
      </c>
      <c r="E66" s="4">
        <v>64.660004000000001</v>
      </c>
      <c r="F66" s="6">
        <v>62.614000799999999</v>
      </c>
      <c r="G66" s="6">
        <v>59.800499999999985</v>
      </c>
      <c r="H66" s="3">
        <v>61.928666800000002</v>
      </c>
      <c r="I66" s="3">
        <v>63.299334799999997</v>
      </c>
      <c r="J66">
        <v>61.088872581067804</v>
      </c>
      <c r="K66" s="5">
        <v>60.752200258744239</v>
      </c>
      <c r="L66" s="5">
        <v>0.33667232232356525</v>
      </c>
      <c r="M66" s="5">
        <v>0.13771937501809045</v>
      </c>
      <c r="N66" s="8">
        <v>63.238500299999998</v>
      </c>
      <c r="O66" s="8">
        <v>65.993317843983945</v>
      </c>
      <c r="P66" s="8">
        <v>60.483682756016059</v>
      </c>
    </row>
    <row r="67" spans="1:16" x14ac:dyDescent="0.2">
      <c r="A67" s="7">
        <v>44714</v>
      </c>
      <c r="B67" s="4">
        <v>64.599997999999999</v>
      </c>
      <c r="C67" s="4">
        <v>65.160004000000001</v>
      </c>
      <c r="D67" s="4">
        <v>61.779998999999997</v>
      </c>
      <c r="E67" s="4">
        <v>62.48</v>
      </c>
      <c r="F67" s="6">
        <v>62.878000800000009</v>
      </c>
      <c r="G67" s="6">
        <v>59.889000050000007</v>
      </c>
      <c r="H67" s="3">
        <v>62.501333733333325</v>
      </c>
      <c r="I67" s="3">
        <v>63.254667866666665</v>
      </c>
      <c r="J67">
        <v>61.302892183980447</v>
      </c>
      <c r="K67" s="5">
        <v>61.191919056544265</v>
      </c>
      <c r="L67" s="5">
        <v>0.11097312743618204</v>
      </c>
      <c r="M67" s="5">
        <v>0.15827916727551561</v>
      </c>
      <c r="N67" s="8">
        <v>63.297999999999988</v>
      </c>
      <c r="O67" s="8">
        <v>66.227928569635409</v>
      </c>
      <c r="P67" s="8">
        <v>60.368071430364566</v>
      </c>
    </row>
    <row r="68" spans="1:16" x14ac:dyDescent="0.2">
      <c r="A68" s="7">
        <v>44715</v>
      </c>
      <c r="B68" s="4">
        <v>62.23</v>
      </c>
      <c r="C68" s="4">
        <v>63</v>
      </c>
      <c r="D68" s="4">
        <v>61.279998999999997</v>
      </c>
      <c r="E68" s="4">
        <v>62.18</v>
      </c>
      <c r="F68" s="6">
        <v>63.026000999999994</v>
      </c>
      <c r="G68" s="6">
        <v>59.935000150000008</v>
      </c>
      <c r="H68" s="3">
        <v>63.030001066666657</v>
      </c>
      <c r="I68" s="3">
        <v>63.022000933333331</v>
      </c>
      <c r="J68">
        <v>61.437831847983453</v>
      </c>
      <c r="K68" s="5">
        <v>61.367863133315225</v>
      </c>
      <c r="L68" s="5">
        <v>6.996871466822796E-2</v>
      </c>
      <c r="M68" s="5">
        <v>0.16636917193018361</v>
      </c>
      <c r="N68" s="8">
        <v>63.442500150000001</v>
      </c>
      <c r="O68" s="8">
        <v>66.485447243821923</v>
      </c>
      <c r="P68" s="8">
        <v>60.399553056178078</v>
      </c>
    </row>
    <row r="69" spans="1:16" x14ac:dyDescent="0.2">
      <c r="A69" s="7">
        <v>44718</v>
      </c>
      <c r="B69" s="4">
        <v>62.099997999999999</v>
      </c>
      <c r="C69" s="4">
        <v>64.760002</v>
      </c>
      <c r="D69" s="4">
        <v>61.220001000000003</v>
      </c>
      <c r="E69" s="4">
        <v>63.439999</v>
      </c>
      <c r="F69" s="6">
        <v>63.496000800000004</v>
      </c>
      <c r="G69" s="6">
        <v>60.090499999999999</v>
      </c>
      <c r="H69" s="3">
        <v>63.832001333333331</v>
      </c>
      <c r="I69" s="3">
        <v>63.160000266666671</v>
      </c>
      <c r="J69">
        <v>61.745857563678307</v>
      </c>
      <c r="K69" s="5">
        <v>61.586140525910601</v>
      </c>
      <c r="L69" s="5">
        <v>0.15971703776770596</v>
      </c>
      <c r="M69" s="5">
        <v>0.18810535757182045</v>
      </c>
      <c r="N69" s="8">
        <v>63.624000049999992</v>
      </c>
      <c r="O69" s="8">
        <v>66.780782172153422</v>
      </c>
      <c r="P69" s="8">
        <v>60.467217927846555</v>
      </c>
    </row>
    <row r="70" spans="1:16" x14ac:dyDescent="0.2">
      <c r="A70" s="7">
        <v>44719</v>
      </c>
      <c r="B70" s="4">
        <v>63.189999</v>
      </c>
      <c r="C70" s="4">
        <v>64.760002</v>
      </c>
      <c r="D70" s="4">
        <v>62.459999000000003</v>
      </c>
      <c r="E70" s="4">
        <v>63.57</v>
      </c>
      <c r="F70" s="6">
        <v>63.266000600000005</v>
      </c>
      <c r="G70" s="6">
        <v>60.255499999999998</v>
      </c>
      <c r="H70" s="3">
        <v>63.347334533333331</v>
      </c>
      <c r="I70" s="3">
        <v>63.184666666666665</v>
      </c>
      <c r="J70">
        <v>62.026494861573951</v>
      </c>
      <c r="K70" s="5">
        <v>61.88097922562806</v>
      </c>
      <c r="L70" s="5">
        <v>0.14551563594589112</v>
      </c>
      <c r="M70" s="5">
        <v>0.19488622753702994</v>
      </c>
      <c r="N70" s="8">
        <v>63.930500100000003</v>
      </c>
      <c r="O70" s="8">
        <v>68.054301664934698</v>
      </c>
      <c r="P70" s="8">
        <v>59.806698535065308</v>
      </c>
    </row>
    <row r="71" spans="1:16" x14ac:dyDescent="0.2">
      <c r="A71" s="7">
        <v>44720</v>
      </c>
      <c r="B71" s="4">
        <v>63.66</v>
      </c>
      <c r="C71" s="4">
        <v>64.190002000000007</v>
      </c>
      <c r="D71" s="4">
        <v>61.650002000000001</v>
      </c>
      <c r="E71" s="4">
        <v>63.220001000000003</v>
      </c>
      <c r="F71" s="6">
        <v>62.977999999999994</v>
      </c>
      <c r="G71" s="6">
        <v>60.509999999999977</v>
      </c>
      <c r="H71" s="3">
        <v>62.786666533333332</v>
      </c>
      <c r="I71" s="3">
        <v>63.169333466666671</v>
      </c>
      <c r="J71">
        <v>62.210111190562571</v>
      </c>
      <c r="K71" s="5">
        <v>62.114902723679592</v>
      </c>
      <c r="L71" s="5">
        <v>9.5208466882979792E-2</v>
      </c>
      <c r="M71" s="5">
        <v>0.18316268255982177</v>
      </c>
      <c r="N71" s="8">
        <v>64.111000099999998</v>
      </c>
      <c r="O71" s="8">
        <v>68.477256986047564</v>
      </c>
      <c r="P71" s="8">
        <v>59.744743213952425</v>
      </c>
    </row>
    <row r="72" spans="1:16" x14ac:dyDescent="0.2">
      <c r="A72" s="7">
        <v>44721</v>
      </c>
      <c r="B72" s="4">
        <v>63.220001000000003</v>
      </c>
      <c r="C72" s="4">
        <v>65.879997000000003</v>
      </c>
      <c r="D72" s="4">
        <v>62.330002</v>
      </c>
      <c r="E72" s="4">
        <v>64.519997000000004</v>
      </c>
      <c r="F72" s="6">
        <v>63.385999400000003</v>
      </c>
      <c r="G72" s="6">
        <v>60.767499899999983</v>
      </c>
      <c r="H72" s="3">
        <v>63.088666333333336</v>
      </c>
      <c r="I72" s="3">
        <v>63.68333246666667</v>
      </c>
      <c r="J72">
        <v>62.565478238168325</v>
      </c>
      <c r="K72" s="5">
        <v>62.381213843113493</v>
      </c>
      <c r="L72" s="5">
        <v>0.18426439505483216</v>
      </c>
      <c r="M72" s="5">
        <v>0.18228356900360865</v>
      </c>
      <c r="N72" s="8">
        <v>64.445500250000009</v>
      </c>
      <c r="O72" s="8">
        <v>69.495809380821157</v>
      </c>
      <c r="P72" s="8">
        <v>59.395191119178854</v>
      </c>
    </row>
    <row r="73" spans="1:16" x14ac:dyDescent="0.2">
      <c r="A73" s="7">
        <v>44722</v>
      </c>
      <c r="B73" s="4">
        <v>64.440002000000007</v>
      </c>
      <c r="C73" s="4">
        <v>64.5</v>
      </c>
      <c r="D73" s="4">
        <v>61.209999000000003</v>
      </c>
      <c r="E73" s="4">
        <v>61.400002000000001</v>
      </c>
      <c r="F73" s="6">
        <v>63.229999799999995</v>
      </c>
      <c r="G73" s="6">
        <v>60.941999999999993</v>
      </c>
      <c r="H73" s="3">
        <v>63.438666266666658</v>
      </c>
      <c r="I73" s="3">
        <v>63.021333333333331</v>
      </c>
      <c r="J73">
        <v>62.386174201527041</v>
      </c>
      <c r="K73" s="5">
        <v>62.479146664970671</v>
      </c>
      <c r="L73" s="5">
        <v>-9.2972463443629749E-2</v>
      </c>
      <c r="M73" s="5">
        <v>0.15698766570010905</v>
      </c>
      <c r="N73" s="8">
        <v>64.70350040000001</v>
      </c>
      <c r="O73" s="8">
        <v>70.270600416573942</v>
      </c>
      <c r="P73" s="8">
        <v>59.136400383426079</v>
      </c>
    </row>
    <row r="74" spans="1:16" x14ac:dyDescent="0.2">
      <c r="A74" s="7">
        <v>44725</v>
      </c>
      <c r="B74" s="4">
        <v>61.009998000000003</v>
      </c>
      <c r="C74" s="4">
        <v>63.990001999999997</v>
      </c>
      <c r="D74" s="4">
        <v>60</v>
      </c>
      <c r="E74" s="4">
        <v>62.290000999999997</v>
      </c>
      <c r="F74" s="6">
        <v>63.000000200000002</v>
      </c>
      <c r="G74" s="6">
        <v>61.135000050000016</v>
      </c>
      <c r="H74" s="3">
        <v>63.292000000000009</v>
      </c>
      <c r="I74" s="3">
        <v>62.708000400000003</v>
      </c>
      <c r="J74">
        <v>62.371378324369033</v>
      </c>
      <c r="K74" s="5">
        <v>62.379050260673189</v>
      </c>
      <c r="L74" s="5">
        <v>-7.6719363041561905E-3</v>
      </c>
      <c r="M74" s="5">
        <v>0.11129725559239982</v>
      </c>
      <c r="N74" s="8">
        <v>65.163500200000001</v>
      </c>
      <c r="O74" s="8">
        <v>71.090040830650267</v>
      </c>
      <c r="P74" s="8">
        <v>59.236959569349736</v>
      </c>
    </row>
    <row r="75" spans="1:16" x14ac:dyDescent="0.2">
      <c r="A75" s="7">
        <v>44726</v>
      </c>
      <c r="B75" s="4">
        <v>62.43</v>
      </c>
      <c r="C75" s="4">
        <v>63.099997999999999</v>
      </c>
      <c r="D75" s="4">
        <v>60.259998000000003</v>
      </c>
      <c r="E75" s="4">
        <v>60.720001000000003</v>
      </c>
      <c r="F75" s="6">
        <v>62.430000400000004</v>
      </c>
      <c r="G75" s="6">
        <v>61.222500050000008</v>
      </c>
      <c r="H75" s="3">
        <v>62.912000133333336</v>
      </c>
      <c r="I75" s="3">
        <v>61.948000666666665</v>
      </c>
      <c r="J75">
        <v>62.117320274466103</v>
      </c>
      <c r="K75" s="5">
        <v>62.249054078119471</v>
      </c>
      <c r="L75" s="5">
        <v>-0.1317338036533684</v>
      </c>
      <c r="M75" s="5">
        <v>5.9252130483851632E-2</v>
      </c>
      <c r="N75" s="8">
        <v>65.587000250000003</v>
      </c>
      <c r="O75" s="8">
        <v>71.849927716996106</v>
      </c>
      <c r="P75" s="8">
        <v>59.324072783003899</v>
      </c>
    </row>
    <row r="76" spans="1:16" x14ac:dyDescent="0.2">
      <c r="A76" s="7">
        <v>44727</v>
      </c>
      <c r="B76" s="4">
        <v>61.279998999999997</v>
      </c>
      <c r="C76" s="4">
        <v>63.689999</v>
      </c>
      <c r="D76" s="4">
        <v>60.009998000000003</v>
      </c>
      <c r="E76" s="4">
        <v>62.599997999999999</v>
      </c>
      <c r="F76" s="6">
        <v>62.305999799999995</v>
      </c>
      <c r="G76" s="6">
        <v>61.49400004999999</v>
      </c>
      <c r="H76" s="3">
        <v>62.607333066666669</v>
      </c>
      <c r="I76" s="3">
        <v>62.004666533333335</v>
      </c>
      <c r="J76">
        <v>62.191578386086697</v>
      </c>
      <c r="K76" s="5">
        <v>62.153074180061203</v>
      </c>
      <c r="L76" s="5">
        <v>3.8504206025493204E-2</v>
      </c>
      <c r="M76" s="5">
        <v>5.1200028104886205E-2</v>
      </c>
      <c r="N76" s="8">
        <v>65.965500250000005</v>
      </c>
      <c r="O76" s="8">
        <v>71.896125911944736</v>
      </c>
      <c r="P76" s="8">
        <v>60.034874588055267</v>
      </c>
    </row>
    <row r="77" spans="1:16" x14ac:dyDescent="0.2">
      <c r="A77" s="7">
        <v>44728</v>
      </c>
      <c r="B77" s="4">
        <v>62.32</v>
      </c>
      <c r="C77" s="4">
        <v>63.5</v>
      </c>
      <c r="D77" s="4">
        <v>61.23</v>
      </c>
      <c r="E77" s="4">
        <v>62.630001</v>
      </c>
      <c r="F77" s="6">
        <v>61.928000599999997</v>
      </c>
      <c r="G77" s="6">
        <v>61.802500149999993</v>
      </c>
      <c r="H77" s="3">
        <v>61.743334266666665</v>
      </c>
      <c r="I77" s="3">
        <v>62.11266693333333</v>
      </c>
      <c r="J77">
        <v>62.259028018996432</v>
      </c>
      <c r="K77" s="5">
        <v>62.224054135265462</v>
      </c>
      <c r="L77" s="5">
        <v>3.4973883730970101E-2</v>
      </c>
      <c r="M77" s="5">
        <v>4.7311713556302003E-2</v>
      </c>
      <c r="N77" s="8">
        <v>66.288000499999995</v>
      </c>
      <c r="O77" s="8">
        <v>72.149129313858637</v>
      </c>
      <c r="P77" s="8">
        <v>60.426871686141354</v>
      </c>
    </row>
    <row r="78" spans="1:16" x14ac:dyDescent="0.2">
      <c r="A78" s="7">
        <v>44729</v>
      </c>
      <c r="B78" s="4">
        <v>63.330002</v>
      </c>
      <c r="C78" s="4">
        <v>63.330002</v>
      </c>
      <c r="D78" s="4">
        <v>61.259998000000003</v>
      </c>
      <c r="E78" s="4">
        <v>62.509998000000003</v>
      </c>
      <c r="F78" s="6">
        <v>62.149999800000003</v>
      </c>
      <c r="G78" s="6">
        <v>62.039500049999994</v>
      </c>
      <c r="H78" s="3">
        <v>61.993333533333335</v>
      </c>
      <c r="I78" s="3">
        <v>62.306666066666665</v>
      </c>
      <c r="J78">
        <v>62.29763878530467</v>
      </c>
      <c r="K78" s="5">
        <v>62.277618387959663</v>
      </c>
      <c r="L78" s="5">
        <v>2.0020397345007268E-2</v>
      </c>
      <c r="M78" s="5">
        <v>3.1789864620446591E-2</v>
      </c>
      <c r="N78" s="8">
        <v>66.662000500000005</v>
      </c>
      <c r="O78" s="8">
        <v>72.494850387536871</v>
      </c>
      <c r="P78" s="8">
        <v>60.829150612463145</v>
      </c>
    </row>
    <row r="79" spans="1:16" x14ac:dyDescent="0.2">
      <c r="A79" s="7">
        <v>44732</v>
      </c>
      <c r="B79" s="4">
        <v>62.889999000000003</v>
      </c>
      <c r="C79" s="4">
        <v>64.489998</v>
      </c>
      <c r="D79" s="4">
        <v>62.720001000000003</v>
      </c>
      <c r="E79" s="4">
        <v>64.110000999999997</v>
      </c>
      <c r="F79" s="6">
        <v>62.513999800000001</v>
      </c>
      <c r="G79" s="6">
        <v>62.319000099999997</v>
      </c>
      <c r="H79" s="3">
        <v>62.067999800000003</v>
      </c>
      <c r="I79" s="3">
        <v>62.959999799999999</v>
      </c>
      <c r="J79">
        <v>62.576463741411644</v>
      </c>
      <c r="K79" s="5">
        <v>62.431887838245068</v>
      </c>
      <c r="L79" s="5">
        <v>0.14457590316657587</v>
      </c>
      <c r="M79" s="5">
        <v>3.1685449867189339E-2</v>
      </c>
      <c r="N79" s="8">
        <v>67.166500500000012</v>
      </c>
      <c r="O79" s="8">
        <v>73.228208425903389</v>
      </c>
      <c r="P79" s="8">
        <v>61.104792574096635</v>
      </c>
    </row>
    <row r="80" spans="1:16" x14ac:dyDescent="0.2">
      <c r="A80" s="7">
        <v>44733</v>
      </c>
      <c r="B80" s="4">
        <v>63.959999000000003</v>
      </c>
      <c r="C80" s="4">
        <v>64.900002000000001</v>
      </c>
      <c r="D80" s="4">
        <v>61.400002000000001</v>
      </c>
      <c r="E80" s="4">
        <v>61.700001</v>
      </c>
      <c r="F80" s="6">
        <v>62.709999799999991</v>
      </c>
      <c r="G80" s="6">
        <v>62.499000250000009</v>
      </c>
      <c r="H80" s="3">
        <v>62.731332733333332</v>
      </c>
      <c r="I80" s="3">
        <v>62.688666866666665</v>
      </c>
      <c r="J80">
        <v>62.441623319656003</v>
      </c>
      <c r="K80" s="5">
        <v>62.511540575381147</v>
      </c>
      <c r="L80" s="5">
        <v>-6.99172557251444E-2</v>
      </c>
      <c r="M80" s="5">
        <v>1.3338147355175542E-2</v>
      </c>
      <c r="N80" s="8">
        <v>67.536000449999989</v>
      </c>
      <c r="O80" s="8">
        <v>73.713069480945421</v>
      </c>
      <c r="P80" s="8">
        <v>61.358931419054564</v>
      </c>
    </row>
    <row r="81" spans="1:16" x14ac:dyDescent="0.2">
      <c r="A81" s="7">
        <v>44734</v>
      </c>
      <c r="B81" s="4">
        <v>61.369999</v>
      </c>
      <c r="C81" s="4">
        <v>64.040001000000004</v>
      </c>
      <c r="D81" s="4">
        <v>60.799999</v>
      </c>
      <c r="E81" s="4">
        <v>63.490001999999997</v>
      </c>
      <c r="F81" s="6">
        <v>62.888000599999998</v>
      </c>
      <c r="G81" s="6">
        <v>62.696500300000004</v>
      </c>
      <c r="H81" s="3">
        <v>62.827333599999996</v>
      </c>
      <c r="I81" s="3">
        <v>62.9486676</v>
      </c>
      <c r="J81">
        <v>62.602912347401229</v>
      </c>
      <c r="K81" s="5">
        <v>62.519280999681484</v>
      </c>
      <c r="L81" s="5">
        <v>8.3631347719745008E-2</v>
      </c>
      <c r="M81" s="5">
        <v>2.1566976512769681E-3</v>
      </c>
      <c r="N81" s="8">
        <v>68.054500399999995</v>
      </c>
      <c r="O81" s="8">
        <v>73.90101590724305</v>
      </c>
      <c r="P81" s="8">
        <v>62.207984892756947</v>
      </c>
    </row>
    <row r="82" spans="1:16" x14ac:dyDescent="0.2">
      <c r="A82" s="7">
        <v>44735</v>
      </c>
      <c r="B82" s="4">
        <v>63.57</v>
      </c>
      <c r="C82" s="4">
        <v>64.269997000000004</v>
      </c>
      <c r="D82" s="4">
        <v>62.599997999999999</v>
      </c>
      <c r="E82" s="4">
        <v>63.48</v>
      </c>
      <c r="F82" s="6">
        <v>63.058000400000005</v>
      </c>
      <c r="G82" s="6">
        <v>62.812500299999996</v>
      </c>
      <c r="H82" s="3">
        <v>62.970000066666664</v>
      </c>
      <c r="I82" s="3">
        <v>63.146000733333324</v>
      </c>
      <c r="J82">
        <v>62.737848909339505</v>
      </c>
      <c r="K82" s="5">
        <v>62.667881803149285</v>
      </c>
      <c r="L82" s="5">
        <v>6.9967106190219397E-2</v>
      </c>
      <c r="M82" s="5">
        <v>2.0261094277260208E-2</v>
      </c>
      <c r="N82" s="8">
        <v>68.500500500000001</v>
      </c>
      <c r="O82" s="8">
        <v>74.240860403810714</v>
      </c>
      <c r="P82" s="8">
        <v>62.760140596189288</v>
      </c>
    </row>
    <row r="83" spans="1:16" x14ac:dyDescent="0.2">
      <c r="A83" s="7">
        <v>44736</v>
      </c>
      <c r="B83" s="4">
        <v>63.5</v>
      </c>
      <c r="C83" s="4">
        <v>64.949996999999996</v>
      </c>
      <c r="D83" s="4">
        <v>62.73</v>
      </c>
      <c r="E83" s="4">
        <v>63.810001</v>
      </c>
      <c r="F83" s="6">
        <v>63.318001000000002</v>
      </c>
      <c r="G83" s="6">
        <v>62.931000400000002</v>
      </c>
      <c r="H83" s="3">
        <v>63.23933439999999</v>
      </c>
      <c r="I83" s="3">
        <v>63.396667600000001</v>
      </c>
      <c r="J83">
        <v>62.902795384825737</v>
      </c>
      <c r="K83" s="5">
        <v>62.817267582721762</v>
      </c>
      <c r="L83" s="5">
        <v>8.5527802103975148E-2</v>
      </c>
      <c r="M83" s="5">
        <v>3.0616620767052578E-2</v>
      </c>
      <c r="N83" s="8">
        <v>68.9765005</v>
      </c>
      <c r="O83" s="8">
        <v>74.540090341669696</v>
      </c>
      <c r="P83" s="8">
        <v>63.412910658330297</v>
      </c>
    </row>
    <row r="84" spans="1:16" x14ac:dyDescent="0.2">
      <c r="A84" s="7">
        <v>44739</v>
      </c>
      <c r="B84" s="4">
        <v>63.689999</v>
      </c>
      <c r="C84" s="4">
        <v>66.349997999999999</v>
      </c>
      <c r="D84" s="4">
        <v>63.689999</v>
      </c>
      <c r="E84" s="4">
        <v>65.959998999999996</v>
      </c>
      <c r="F84" s="6">
        <v>63.688000599999995</v>
      </c>
      <c r="G84" s="6">
        <v>63.174500350000002</v>
      </c>
      <c r="H84" s="3">
        <v>63.098667599999992</v>
      </c>
      <c r="I84" s="3">
        <v>64.277333599999992</v>
      </c>
      <c r="J84">
        <v>63.373134402544849</v>
      </c>
      <c r="K84" s="5">
        <v>63.129254911875684</v>
      </c>
      <c r="L84" s="5">
        <v>0.24387949066916548</v>
      </c>
      <c r="M84" s="5">
        <v>7.2351431247334119E-2</v>
      </c>
      <c r="N84" s="8">
        <v>69.508000549999991</v>
      </c>
      <c r="O84" s="8">
        <v>75.024226608191185</v>
      </c>
      <c r="P84" s="8">
        <v>63.991774491808798</v>
      </c>
    </row>
    <row r="85" spans="1:16" x14ac:dyDescent="0.2">
      <c r="A85" s="7">
        <v>44740</v>
      </c>
      <c r="B85" s="4">
        <v>66.150002000000001</v>
      </c>
      <c r="C85" s="4">
        <v>66.739998</v>
      </c>
      <c r="D85" s="4">
        <v>65.290001000000004</v>
      </c>
      <c r="E85" s="4">
        <v>66</v>
      </c>
      <c r="F85" s="6">
        <v>64.548000400000006</v>
      </c>
      <c r="G85" s="6">
        <v>63.238500299999998</v>
      </c>
      <c r="H85" s="3">
        <v>64.048000733333339</v>
      </c>
      <c r="I85" s="3">
        <v>65.04800006666666</v>
      </c>
      <c r="J85">
        <v>63.777267571384101</v>
      </c>
      <c r="K85" s="5">
        <v>63.567717039393379</v>
      </c>
      <c r="L85" s="5">
        <v>0.20955053199072182</v>
      </c>
      <c r="M85" s="5">
        <v>9.135657857680396E-2</v>
      </c>
      <c r="N85" s="8">
        <v>69.922000499999996</v>
      </c>
      <c r="O85" s="8">
        <v>75.558575194095781</v>
      </c>
      <c r="P85" s="8">
        <v>64.285425805904211</v>
      </c>
    </row>
    <row r="86" spans="1:16" x14ac:dyDescent="0.2">
      <c r="A86" s="7">
        <v>44741</v>
      </c>
      <c r="B86" s="4">
        <v>65.989998</v>
      </c>
      <c r="C86" s="4">
        <v>67.120002999999997</v>
      </c>
      <c r="D86" s="4">
        <v>64.430000000000007</v>
      </c>
      <c r="E86" s="4">
        <v>65.849997999999999</v>
      </c>
      <c r="F86" s="6">
        <v>65.019999600000006</v>
      </c>
      <c r="G86" s="6">
        <v>63.297999999999988</v>
      </c>
      <c r="H86" s="3">
        <v>64.557999933333335</v>
      </c>
      <c r="I86" s="3">
        <v>65.481999266666662</v>
      </c>
      <c r="J86">
        <v>64.09614917578655</v>
      </c>
      <c r="K86" s="5">
        <v>63.930803158688981</v>
      </c>
      <c r="L86" s="5">
        <v>0.16534601709756913</v>
      </c>
      <c r="M86" s="5">
        <v>0.10584237117309275</v>
      </c>
      <c r="N86" s="8">
        <v>70.325500500000004</v>
      </c>
      <c r="O86" s="8">
        <v>75.935260693206033</v>
      </c>
      <c r="P86" s="8">
        <v>64.715740306793975</v>
      </c>
    </row>
    <row r="87" spans="1:16" x14ac:dyDescent="0.2">
      <c r="A87" s="7">
        <v>44742</v>
      </c>
      <c r="B87" s="4">
        <v>65.650002000000001</v>
      </c>
      <c r="C87" s="4">
        <v>66.690002000000007</v>
      </c>
      <c r="D87" s="4">
        <v>63.869999</v>
      </c>
      <c r="E87" s="4">
        <v>65.370002999999997</v>
      </c>
      <c r="F87" s="6">
        <v>65.398000199999998</v>
      </c>
      <c r="G87" s="6">
        <v>63.442500150000001</v>
      </c>
      <c r="H87" s="3">
        <v>65.197333333333333</v>
      </c>
      <c r="I87" s="3">
        <v>65.598667066666664</v>
      </c>
      <c r="J87">
        <v>64.292126687204004</v>
      </c>
      <c r="K87" s="5">
        <v>64.190508718320871</v>
      </c>
      <c r="L87" s="5">
        <v>0.1016179688831329</v>
      </c>
      <c r="M87" s="5">
        <v>0.11490876801066226</v>
      </c>
      <c r="N87" s="8">
        <v>70.686500600000002</v>
      </c>
      <c r="O87" s="8">
        <v>76.005294056455654</v>
      </c>
      <c r="P87" s="8">
        <v>65.367707143544351</v>
      </c>
    </row>
    <row r="88" spans="1:16" x14ac:dyDescent="0.2">
      <c r="A88" s="7">
        <v>44743</v>
      </c>
      <c r="B88" s="4">
        <v>65.239998</v>
      </c>
      <c r="C88" s="4">
        <v>67.370002999999997</v>
      </c>
      <c r="D88" s="4">
        <v>65.239998</v>
      </c>
      <c r="E88" s="4">
        <v>65.809997999999993</v>
      </c>
      <c r="F88" s="6">
        <v>65.797999599999997</v>
      </c>
      <c r="G88" s="6">
        <v>63.624000049999992</v>
      </c>
      <c r="H88" s="3">
        <v>65.859999533333337</v>
      </c>
      <c r="I88" s="3">
        <v>65.735999666666658</v>
      </c>
      <c r="J88">
        <v>64.525645350711073</v>
      </c>
      <c r="K88" s="5">
        <v>64.404561599262962</v>
      </c>
      <c r="L88" s="5">
        <v>0.12108375144811134</v>
      </c>
      <c r="M88" s="5">
        <v>0.11229852893083286</v>
      </c>
      <c r="N88" s="8">
        <v>71.172000549999979</v>
      </c>
      <c r="O88" s="8">
        <v>76.212863717440229</v>
      </c>
      <c r="P88" s="8">
        <v>66.131137382559729</v>
      </c>
    </row>
    <row r="89" spans="1:16" x14ac:dyDescent="0.2">
      <c r="A89" s="7">
        <v>44746</v>
      </c>
      <c r="B89" s="4">
        <v>65.589995999999999</v>
      </c>
      <c r="C89" s="4">
        <v>70.809997999999993</v>
      </c>
      <c r="D89" s="4">
        <v>65.589995999999999</v>
      </c>
      <c r="E89" s="4">
        <v>69.569999999999993</v>
      </c>
      <c r="F89" s="6">
        <v>66.519999799999994</v>
      </c>
      <c r="G89" s="6">
        <v>63.930500100000003</v>
      </c>
      <c r="H89" s="3">
        <v>66.046666466666665</v>
      </c>
      <c r="I89" s="3">
        <v>66.993333133333323</v>
      </c>
      <c r="J89">
        <v>65.301699912140137</v>
      </c>
      <c r="K89" s="5">
        <v>64.899301250658397</v>
      </c>
      <c r="L89" s="5">
        <v>0.40239866148174031</v>
      </c>
      <c r="M89" s="5">
        <v>0.16477807528715338</v>
      </c>
      <c r="N89" s="8">
        <v>71.483500699999993</v>
      </c>
      <c r="O89" s="8">
        <v>75.854713672982442</v>
      </c>
      <c r="P89" s="8">
        <v>67.112287727017545</v>
      </c>
    </row>
    <row r="90" spans="1:16" x14ac:dyDescent="0.2">
      <c r="A90" s="7">
        <v>44747</v>
      </c>
      <c r="B90" s="4">
        <v>68.760002</v>
      </c>
      <c r="C90" s="4">
        <v>68.980002999999996</v>
      </c>
      <c r="D90" s="4">
        <v>64.400002000000001</v>
      </c>
      <c r="E90" s="4">
        <v>67.180000000000007</v>
      </c>
      <c r="F90" s="6">
        <v>66.755999799999998</v>
      </c>
      <c r="G90" s="6">
        <v>64.111000099999998</v>
      </c>
      <c r="H90" s="3">
        <v>66.298666400000002</v>
      </c>
      <c r="I90" s="3">
        <v>67.213333199999994</v>
      </c>
      <c r="J90">
        <v>65.590669156426273</v>
      </c>
      <c r="K90" s="5">
        <v>65.440833251981601</v>
      </c>
      <c r="L90" s="5">
        <v>0.14983590444467154</v>
      </c>
      <c r="M90" s="5">
        <v>0.17213413714547857</v>
      </c>
      <c r="N90" s="8">
        <v>71.562500799999995</v>
      </c>
      <c r="O90" s="8">
        <v>75.844299603013297</v>
      </c>
      <c r="P90" s="8">
        <v>67.280701996986693</v>
      </c>
    </row>
    <row r="91" spans="1:16" x14ac:dyDescent="0.2">
      <c r="A91" s="7">
        <v>44748</v>
      </c>
      <c r="B91" s="4">
        <v>67.440002000000007</v>
      </c>
      <c r="C91" s="4">
        <v>70.040001000000004</v>
      </c>
      <c r="D91" s="4">
        <v>67.169998000000007</v>
      </c>
      <c r="E91" s="4">
        <v>69.910004000000001</v>
      </c>
      <c r="F91" s="6">
        <v>67.56800100000001</v>
      </c>
      <c r="G91" s="6">
        <v>64.445500250000009</v>
      </c>
      <c r="H91" s="3">
        <v>66.871334066666662</v>
      </c>
      <c r="I91" s="3">
        <v>68.264667933333328</v>
      </c>
      <c r="J91">
        <v>66.255182209283774</v>
      </c>
      <c r="K91" s="5">
        <v>65.910619885579877</v>
      </c>
      <c r="L91" s="5">
        <v>0.34456232370389728</v>
      </c>
      <c r="M91" s="5">
        <v>0.20264471686922056</v>
      </c>
      <c r="N91" s="8">
        <v>71.818000850000004</v>
      </c>
      <c r="O91" s="8">
        <v>75.5765809981567</v>
      </c>
      <c r="P91" s="8">
        <v>68.059420701843308</v>
      </c>
    </row>
    <row r="92" spans="1:16" x14ac:dyDescent="0.2">
      <c r="A92" s="7">
        <v>44749</v>
      </c>
      <c r="B92" s="4">
        <v>69.910004000000001</v>
      </c>
      <c r="C92" s="4">
        <v>71.120002999999997</v>
      </c>
      <c r="D92" s="4">
        <v>69.580001999999993</v>
      </c>
      <c r="E92" s="4">
        <v>69.680000000000007</v>
      </c>
      <c r="F92" s="6">
        <v>68.430000400000011</v>
      </c>
      <c r="G92" s="6">
        <v>64.70350040000001</v>
      </c>
      <c r="H92" s="3">
        <v>67.891333199999991</v>
      </c>
      <c r="I92" s="3">
        <v>68.968667600000003</v>
      </c>
      <c r="J92">
        <v>66.782077254009351</v>
      </c>
      <c r="K92" s="5">
        <v>66.508872416003499</v>
      </c>
      <c r="L92" s="5">
        <v>0.27320483800585293</v>
      </c>
      <c r="M92" s="5">
        <v>0.22349772085831809</v>
      </c>
      <c r="N92" s="8">
        <v>71.901500749999997</v>
      </c>
      <c r="O92" s="8">
        <v>75.554319107466185</v>
      </c>
      <c r="P92" s="8">
        <v>68.248682392533809</v>
      </c>
    </row>
    <row r="93" spans="1:16" x14ac:dyDescent="0.2">
      <c r="A93" s="7">
        <v>44750</v>
      </c>
      <c r="B93" s="4">
        <v>69.419998000000007</v>
      </c>
      <c r="C93" s="4">
        <v>71.239998</v>
      </c>
      <c r="D93" s="4">
        <v>69.019997000000004</v>
      </c>
      <c r="E93" s="4">
        <v>70.599997999999999</v>
      </c>
      <c r="F93" s="6">
        <v>69.38800040000001</v>
      </c>
      <c r="G93" s="6">
        <v>65.163500200000001</v>
      </c>
      <c r="H93" s="3">
        <v>69.084000666666668</v>
      </c>
      <c r="I93" s="3">
        <v>69.692000133333337</v>
      </c>
      <c r="J93">
        <v>67.369449676469458</v>
      </c>
      <c r="K93" s="5">
        <v>67.064886198156813</v>
      </c>
      <c r="L93" s="5">
        <v>0.30456347831264452</v>
      </c>
      <c r="M93" s="5">
        <v>0.23024038615203798</v>
      </c>
      <c r="N93" s="8">
        <v>71.960000650000012</v>
      </c>
      <c r="O93" s="8">
        <v>75.498712486993114</v>
      </c>
      <c r="P93" s="8">
        <v>68.42128881300691</v>
      </c>
    </row>
    <row r="94" spans="1:16" x14ac:dyDescent="0.2">
      <c r="A94" s="7">
        <v>44753</v>
      </c>
      <c r="B94" s="4">
        <v>70.569999999999993</v>
      </c>
      <c r="C94" s="4">
        <v>72</v>
      </c>
      <c r="D94" s="4">
        <v>69.5</v>
      </c>
      <c r="E94" s="4">
        <v>70.760002</v>
      </c>
      <c r="F94" s="6">
        <v>69.6260008</v>
      </c>
      <c r="G94" s="6">
        <v>65.587000250000003</v>
      </c>
      <c r="H94" s="3">
        <v>69.102667600000018</v>
      </c>
      <c r="I94" s="3">
        <v>70.14933400000001</v>
      </c>
      <c r="J94">
        <v>67.89107311085877</v>
      </c>
      <c r="K94" s="5">
        <v>67.620601700434676</v>
      </c>
      <c r="L94" s="5">
        <v>0.27047141042409351</v>
      </c>
      <c r="M94" s="5">
        <v>0.23700937264463484</v>
      </c>
      <c r="N94" s="8">
        <v>71.938000950000003</v>
      </c>
      <c r="O94" s="8">
        <v>75.517547759188318</v>
      </c>
      <c r="P94" s="8">
        <v>68.358454140811688</v>
      </c>
    </row>
    <row r="95" spans="1:16" x14ac:dyDescent="0.2">
      <c r="A95" s="7">
        <v>44754</v>
      </c>
      <c r="B95" s="4">
        <v>70.400002000000001</v>
      </c>
      <c r="C95" s="4">
        <v>71.080001999999993</v>
      </c>
      <c r="D95" s="4">
        <v>68.059997999999993</v>
      </c>
      <c r="E95" s="4">
        <v>68.290001000000004</v>
      </c>
      <c r="F95" s="6">
        <v>69.848001000000011</v>
      </c>
      <c r="G95" s="6">
        <v>65.965500250000005</v>
      </c>
      <c r="H95" s="3">
        <v>69.992001266666662</v>
      </c>
      <c r="I95" s="3">
        <v>69.704000733333331</v>
      </c>
      <c r="J95">
        <v>67.952446632265108</v>
      </c>
      <c r="K95" s="5">
        <v>67.92062332486924</v>
      </c>
      <c r="L95" s="5">
        <v>3.1823307395868028E-2</v>
      </c>
      <c r="M95" s="5">
        <v>0.22217351601111249</v>
      </c>
      <c r="N95" s="8">
        <v>72.056500700000001</v>
      </c>
      <c r="O95" s="8">
        <v>75.628756870400238</v>
      </c>
      <c r="P95" s="8">
        <v>68.484244529599763</v>
      </c>
    </row>
    <row r="96" spans="1:16" x14ac:dyDescent="0.2">
      <c r="A96" s="7">
        <v>44755</v>
      </c>
      <c r="B96" s="4">
        <v>68.139999000000003</v>
      </c>
      <c r="C96" s="4">
        <v>69.440002000000007</v>
      </c>
      <c r="D96" s="4">
        <v>67.580001999999993</v>
      </c>
      <c r="E96" s="4">
        <v>69.050003000000004</v>
      </c>
      <c r="F96" s="6">
        <v>69.676000800000011</v>
      </c>
      <c r="G96" s="6">
        <v>66.288000499999995</v>
      </c>
      <c r="H96" s="3">
        <v>69.91400019999999</v>
      </c>
      <c r="I96" s="3">
        <v>69.438001400000005</v>
      </c>
      <c r="J96">
        <v>68.121301458070477</v>
      </c>
      <c r="K96" s="5">
        <v>68.033747103949167</v>
      </c>
      <c r="L96" s="5">
        <v>8.7554354121309075E-2</v>
      </c>
      <c r="M96" s="5">
        <v>0.22061089214868762</v>
      </c>
      <c r="N96" s="8">
        <v>72.419000699999998</v>
      </c>
      <c r="O96" s="8">
        <v>75.850586080060765</v>
      </c>
      <c r="P96" s="8">
        <v>68.987415319939231</v>
      </c>
    </row>
    <row r="97" spans="1:16" x14ac:dyDescent="0.2">
      <c r="A97" s="7">
        <v>44756</v>
      </c>
      <c r="B97" s="4">
        <v>69.099997999999999</v>
      </c>
      <c r="C97" s="4">
        <v>70.300003000000004</v>
      </c>
      <c r="D97" s="4">
        <v>67.699996999999996</v>
      </c>
      <c r="E97" s="4">
        <v>70.110000999999997</v>
      </c>
      <c r="F97" s="6">
        <v>69.762001000000012</v>
      </c>
      <c r="G97" s="6">
        <v>66.662000500000005</v>
      </c>
      <c r="H97" s="3">
        <v>69.941333866666668</v>
      </c>
      <c r="I97" s="3">
        <v>69.582668133333328</v>
      </c>
      <c r="J97">
        <v>68.427255233751936</v>
      </c>
      <c r="K97" s="5">
        <v>68.26861253525044</v>
      </c>
      <c r="L97" s="5">
        <v>0.15864269850149526</v>
      </c>
      <c r="M97" s="5">
        <v>0.22478410848795249</v>
      </c>
      <c r="N97" s="8">
        <v>72.782000449999984</v>
      </c>
      <c r="O97" s="8">
        <v>76.248814083783003</v>
      </c>
      <c r="P97" s="8">
        <v>69.315186816216965</v>
      </c>
    </row>
    <row r="98" spans="1:16" x14ac:dyDescent="0.2">
      <c r="A98" s="7">
        <v>44757</v>
      </c>
      <c r="B98" s="4">
        <v>70.019997000000004</v>
      </c>
      <c r="C98" s="4">
        <v>72.819999999999993</v>
      </c>
      <c r="D98" s="4">
        <v>69.540001000000004</v>
      </c>
      <c r="E98" s="4">
        <v>72.599997999999999</v>
      </c>
      <c r="F98" s="6">
        <v>70.162001000000004</v>
      </c>
      <c r="G98" s="6">
        <v>67.166500500000012</v>
      </c>
      <c r="H98" s="3">
        <v>69.795334866666678</v>
      </c>
      <c r="I98" s="3">
        <v>70.528667133333329</v>
      </c>
      <c r="J98">
        <v>69.069215659328563</v>
      </c>
      <c r="K98" s="5">
        <v>68.736347290511048</v>
      </c>
      <c r="L98" s="5">
        <v>0.33286836881751469</v>
      </c>
      <c r="M98" s="5">
        <v>0.21705852041414964</v>
      </c>
      <c r="N98" s="8">
        <v>73.092500399999992</v>
      </c>
      <c r="O98" s="8">
        <v>76.662520008970844</v>
      </c>
      <c r="P98" s="8">
        <v>69.522480791029139</v>
      </c>
    </row>
    <row r="99" spans="1:16" x14ac:dyDescent="0.2">
      <c r="A99" s="7">
        <v>44760</v>
      </c>
      <c r="B99" s="4">
        <v>72.290001000000004</v>
      </c>
      <c r="C99" s="4">
        <v>73.75</v>
      </c>
      <c r="D99" s="4">
        <v>70.550003000000004</v>
      </c>
      <c r="E99" s="4">
        <v>71.5</v>
      </c>
      <c r="F99" s="6">
        <v>70.310000600000009</v>
      </c>
      <c r="G99" s="6">
        <v>67.536000449999989</v>
      </c>
      <c r="H99" s="3">
        <v>69.64533440000001</v>
      </c>
      <c r="I99" s="3">
        <v>70.974666799999994</v>
      </c>
      <c r="J99">
        <v>69.443182480970322</v>
      </c>
      <c r="K99" s="5">
        <v>69.249273758637557</v>
      </c>
      <c r="L99" s="5">
        <v>0.19390872233276468</v>
      </c>
      <c r="M99" s="5">
        <v>0.22195550017949334</v>
      </c>
      <c r="N99" s="8">
        <v>73.297000600000004</v>
      </c>
      <c r="O99" s="8">
        <v>77.201168212667767</v>
      </c>
      <c r="P99" s="8">
        <v>69.392832987332241</v>
      </c>
    </row>
    <row r="100" spans="1:16" x14ac:dyDescent="0.2">
      <c r="A100" s="7">
        <v>44761</v>
      </c>
      <c r="B100" s="4">
        <v>71.800003000000004</v>
      </c>
      <c r="C100" s="4">
        <v>72.970000999999996</v>
      </c>
      <c r="D100" s="4">
        <v>70.980002999999996</v>
      </c>
      <c r="E100" s="4">
        <v>72.069999999999993</v>
      </c>
      <c r="F100" s="6">
        <v>71.066000399999993</v>
      </c>
      <c r="G100" s="6">
        <v>68.054500399999995</v>
      </c>
      <c r="H100" s="3">
        <v>70.570667533333335</v>
      </c>
      <c r="I100" s="3">
        <v>71.561333266666665</v>
      </c>
      <c r="J100">
        <v>69.84730825312873</v>
      </c>
      <c r="K100" s="5">
        <v>69.637761556453995</v>
      </c>
      <c r="L100" s="5">
        <v>0.20954669667473524</v>
      </c>
      <c r="M100" s="5">
        <v>0.20695376384291977</v>
      </c>
      <c r="N100" s="8">
        <v>73.484000500000008</v>
      </c>
      <c r="O100" s="8">
        <v>77.38403129718138</v>
      </c>
      <c r="P100" s="8">
        <v>69.583969702818635</v>
      </c>
    </row>
    <row r="101" spans="1:16" x14ac:dyDescent="0.2">
      <c r="A101" s="7">
        <v>44762</v>
      </c>
      <c r="B101" s="4">
        <v>71.75</v>
      </c>
      <c r="C101" s="4">
        <v>72.900002000000001</v>
      </c>
      <c r="D101" s="4">
        <v>71.610000999999997</v>
      </c>
      <c r="E101" s="4">
        <v>72.410004000000001</v>
      </c>
      <c r="F101" s="6">
        <v>71.738000599999992</v>
      </c>
      <c r="G101" s="6">
        <v>68.500500500000001</v>
      </c>
      <c r="H101" s="3">
        <v>71.466666733333341</v>
      </c>
      <c r="I101" s="3">
        <v>72.009334466666672</v>
      </c>
      <c r="J101">
        <v>70.241569137262772</v>
      </c>
      <c r="K101" s="5">
        <v>70.037137567711781</v>
      </c>
      <c r="L101" s="5">
        <v>0.20443156955099084</v>
      </c>
      <c r="M101" s="5">
        <v>0.19931228957015731</v>
      </c>
      <c r="N101" s="8">
        <v>73.619000349999993</v>
      </c>
      <c r="O101" s="8">
        <v>77.499817720066218</v>
      </c>
      <c r="P101" s="8">
        <v>69.738182979933768</v>
      </c>
    </row>
    <row r="102" spans="1:16" x14ac:dyDescent="0.2">
      <c r="A102" s="7">
        <v>44763</v>
      </c>
      <c r="B102" s="4">
        <v>72.669998000000007</v>
      </c>
      <c r="C102" s="4">
        <v>73.260002</v>
      </c>
      <c r="D102" s="4">
        <v>71.309997999999993</v>
      </c>
      <c r="E102" s="4">
        <v>73</v>
      </c>
      <c r="F102" s="6">
        <v>72.316000399999993</v>
      </c>
      <c r="G102" s="6">
        <v>68.9765005</v>
      </c>
      <c r="H102" s="3">
        <v>72.201999866666668</v>
      </c>
      <c r="I102" s="3">
        <v>72.430000933333332</v>
      </c>
      <c r="J102">
        <v>70.665943116145428</v>
      </c>
      <c r="K102" s="5">
        <v>70.445897349317377</v>
      </c>
      <c r="L102" s="5">
        <v>0.22004576682805066</v>
      </c>
      <c r="M102" s="5">
        <v>0.18992143273853579</v>
      </c>
      <c r="N102" s="8">
        <v>73.695500249999995</v>
      </c>
      <c r="O102" s="8">
        <v>77.536082898370339</v>
      </c>
      <c r="P102" s="8">
        <v>69.854917601629651</v>
      </c>
    </row>
    <row r="103" spans="1:16" x14ac:dyDescent="0.2">
      <c r="A103" s="7">
        <v>44764</v>
      </c>
      <c r="B103" s="4">
        <v>73.139999000000003</v>
      </c>
      <c r="C103" s="4">
        <v>74.699996999999996</v>
      </c>
      <c r="D103" s="4">
        <v>72.220000999999996</v>
      </c>
      <c r="E103" s="4">
        <v>74.440002000000007</v>
      </c>
      <c r="F103" s="6">
        <v>72.684001199999997</v>
      </c>
      <c r="G103" s="6">
        <v>69.508000549999991</v>
      </c>
      <c r="H103" s="3">
        <v>72.230000933333315</v>
      </c>
      <c r="I103" s="3">
        <v>73.138001466666665</v>
      </c>
      <c r="J103">
        <v>71.246567559815361</v>
      </c>
      <c r="K103" s="5">
        <v>70.945503033467986</v>
      </c>
      <c r="L103" s="5">
        <v>0.30106452634737479</v>
      </c>
      <c r="M103" s="5">
        <v>0.19332066784112259</v>
      </c>
      <c r="N103" s="8">
        <v>73.723500150000007</v>
      </c>
      <c r="O103" s="8">
        <v>77.550875697128063</v>
      </c>
      <c r="P103" s="8">
        <v>69.89612460287195</v>
      </c>
    </row>
    <row r="104" spans="1:16" x14ac:dyDescent="0.2">
      <c r="A104" s="7">
        <v>44767</v>
      </c>
      <c r="B104" s="4">
        <v>74.040001000000004</v>
      </c>
      <c r="C104" s="4">
        <v>75.449996999999996</v>
      </c>
      <c r="D104" s="4">
        <v>73.360000999999997</v>
      </c>
      <c r="E104" s="4">
        <v>74.239998</v>
      </c>
      <c r="F104" s="6">
        <v>73.232000800000009</v>
      </c>
      <c r="G104" s="6">
        <v>69.922000499999996</v>
      </c>
      <c r="H104" s="3">
        <v>72.807334533333332</v>
      </c>
      <c r="I104" s="3">
        <v>73.656667066666671</v>
      </c>
      <c r="J104">
        <v>71.707095319843759</v>
      </c>
      <c r="K104" s="5">
        <v>71.468303147977196</v>
      </c>
      <c r="L104" s="5">
        <v>0.23879217186656376</v>
      </c>
      <c r="M104" s="5">
        <v>0.21631720833786655</v>
      </c>
      <c r="N104" s="8">
        <v>73.679499950000007</v>
      </c>
      <c r="O104" s="8">
        <v>77.492399239160449</v>
      </c>
      <c r="P104" s="8">
        <v>69.866600660839566</v>
      </c>
    </row>
    <row r="105" spans="1:16" x14ac:dyDescent="0.2">
      <c r="A105" s="7">
        <v>44768</v>
      </c>
      <c r="B105" s="4">
        <v>74.529999000000004</v>
      </c>
      <c r="C105" s="4">
        <v>74.699996999999996</v>
      </c>
      <c r="D105" s="4">
        <v>72.739998</v>
      </c>
      <c r="E105" s="4">
        <v>74.069999999999993</v>
      </c>
      <c r="F105" s="6">
        <v>73.6320008</v>
      </c>
      <c r="G105" s="6">
        <v>70.325500500000004</v>
      </c>
      <c r="H105" s="3">
        <v>73.328001466666677</v>
      </c>
      <c r="I105" s="3">
        <v>73.936000133333337</v>
      </c>
      <c r="J105">
        <v>72.07061911679088</v>
      </c>
      <c r="K105" s="5">
        <v>71.882125296151628</v>
      </c>
      <c r="L105" s="5">
        <v>0.18849382063925191</v>
      </c>
      <c r="M105" s="5">
        <v>0.22753270461763797</v>
      </c>
      <c r="N105" s="8">
        <v>73.693499900000006</v>
      </c>
      <c r="O105" s="8">
        <v>77.517105581995267</v>
      </c>
      <c r="P105" s="8">
        <v>69.869894218004745</v>
      </c>
    </row>
    <row r="106" spans="1:16" x14ac:dyDescent="0.2">
      <c r="A106" s="7">
        <v>44769</v>
      </c>
      <c r="B106" s="4">
        <v>74.690002000000007</v>
      </c>
      <c r="C106" s="4">
        <v>74.690002000000007</v>
      </c>
      <c r="D106" s="4">
        <v>71.819999999999993</v>
      </c>
      <c r="E106" s="4">
        <v>73.069999999999993</v>
      </c>
      <c r="F106" s="6">
        <v>73.763999999999996</v>
      </c>
      <c r="G106" s="6">
        <v>70.686500600000002</v>
      </c>
      <c r="H106" s="3">
        <v>73.779333466666657</v>
      </c>
      <c r="I106" s="3">
        <v>73.748666533333335</v>
      </c>
      <c r="J106">
        <v>72.224370021899972</v>
      </c>
      <c r="K106" s="5">
        <v>72.14464733036192</v>
      </c>
      <c r="L106" s="5">
        <v>7.9722691538052004E-2</v>
      </c>
      <c r="M106" s="5">
        <v>0.21876381495503316</v>
      </c>
      <c r="N106" s="8">
        <v>73.672500000000014</v>
      </c>
      <c r="O106" s="8">
        <v>77.492010351095317</v>
      </c>
      <c r="P106" s="8">
        <v>69.85298964890471</v>
      </c>
    </row>
    <row r="107" spans="1:16" x14ac:dyDescent="0.2">
      <c r="A107" s="7">
        <v>44770</v>
      </c>
      <c r="B107" s="4">
        <v>73.120002999999997</v>
      </c>
      <c r="C107" s="4">
        <v>75.370002999999997</v>
      </c>
      <c r="D107" s="4">
        <v>72.129997000000003</v>
      </c>
      <c r="E107" s="4">
        <v>75.080001999999993</v>
      </c>
      <c r="F107" s="6">
        <v>74.180000399999997</v>
      </c>
      <c r="G107" s="6">
        <v>71.172000549999979</v>
      </c>
      <c r="H107" s="3">
        <v>74.172666933333332</v>
      </c>
      <c r="I107" s="3">
        <v>74.187333866666648</v>
      </c>
      <c r="J107">
        <v>72.663698018530738</v>
      </c>
      <c r="K107" s="5">
        <v>72.43589831657404</v>
      </c>
      <c r="L107" s="5">
        <v>0.22779970195669819</v>
      </c>
      <c r="M107" s="5">
        <v>0.20708951863716468</v>
      </c>
      <c r="N107" s="8">
        <v>73.694000000000017</v>
      </c>
      <c r="O107" s="8">
        <v>77.504059725463378</v>
      </c>
      <c r="P107" s="8">
        <v>69.883940274536656</v>
      </c>
    </row>
    <row r="108" spans="1:16" x14ac:dyDescent="0.2">
      <c r="A108" s="7">
        <v>44771</v>
      </c>
      <c r="B108" s="4">
        <v>74.550003000000004</v>
      </c>
      <c r="C108" s="4">
        <v>74.849997999999999</v>
      </c>
      <c r="D108" s="4">
        <v>71.699996999999996</v>
      </c>
      <c r="E108" s="4">
        <v>72.040001000000004</v>
      </c>
      <c r="F108" s="6">
        <v>73.700000200000005</v>
      </c>
      <c r="G108" s="6">
        <v>71.483500699999993</v>
      </c>
      <c r="H108" s="3">
        <v>73.925999666666669</v>
      </c>
      <c r="I108" s="3">
        <v>73.474000733333327</v>
      </c>
      <c r="J108">
        <v>72.567744631064471</v>
      </c>
      <c r="K108" s="5">
        <v>72.617498239380325</v>
      </c>
      <c r="L108" s="5">
        <v>-4.9753608315853626E-2</v>
      </c>
      <c r="M108" s="5">
        <v>0.18001592634287375</v>
      </c>
      <c r="N108" s="8">
        <v>73.620499949999996</v>
      </c>
      <c r="O108" s="8">
        <v>77.37428108713253</v>
      </c>
      <c r="P108" s="8">
        <v>69.866718812867461</v>
      </c>
    </row>
    <row r="109" spans="1:16" x14ac:dyDescent="0.2">
      <c r="A109" s="7">
        <v>44774</v>
      </c>
      <c r="B109" s="4">
        <v>72.199996999999996</v>
      </c>
      <c r="C109" s="4">
        <v>73.199996999999996</v>
      </c>
      <c r="D109" s="4">
        <v>68.5</v>
      </c>
      <c r="E109" s="4">
        <v>71.150002000000001</v>
      </c>
      <c r="F109" s="6">
        <v>73.082000999999991</v>
      </c>
      <c r="G109" s="6">
        <v>71.562500799999995</v>
      </c>
      <c r="H109" s="3">
        <v>73.540000666666657</v>
      </c>
      <c r="I109" s="3">
        <v>72.624001333333325</v>
      </c>
      <c r="J109">
        <v>72.349630380131472</v>
      </c>
      <c r="K109" s="5">
        <v>72.462726658393024</v>
      </c>
      <c r="L109" s="5">
        <v>-0.11309627826155122</v>
      </c>
      <c r="M109" s="5">
        <v>0.14416670690550859</v>
      </c>
      <c r="N109" s="8">
        <v>73.688500000000019</v>
      </c>
      <c r="O109" s="8">
        <v>77.37031328895911</v>
      </c>
      <c r="P109" s="8">
        <v>70.006686711040928</v>
      </c>
    </row>
    <row r="110" spans="1:16" x14ac:dyDescent="0.2">
      <c r="A110" s="7">
        <v>44775</v>
      </c>
      <c r="B110" s="4">
        <v>71.269997000000004</v>
      </c>
      <c r="C110" s="4">
        <v>72.879997000000003</v>
      </c>
      <c r="D110" s="4">
        <v>71.040001000000004</v>
      </c>
      <c r="E110" s="4">
        <v>72.290001000000004</v>
      </c>
      <c r="F110" s="6">
        <v>72.726001200000013</v>
      </c>
      <c r="G110" s="6">
        <v>71.818000850000004</v>
      </c>
      <c r="H110" s="3">
        <v>73.092001066666668</v>
      </c>
      <c r="I110" s="3">
        <v>72.360001333333329</v>
      </c>
      <c r="J110">
        <v>72.340456629342015</v>
      </c>
      <c r="K110" s="5">
        <v>72.34521338901061</v>
      </c>
      <c r="L110" s="5">
        <v>-4.756759668595123E-3</v>
      </c>
      <c r="M110" s="5">
        <v>0.12092355921444348</v>
      </c>
      <c r="N110" s="8">
        <v>73.687499750000015</v>
      </c>
      <c r="O110" s="8">
        <v>77.372226511135807</v>
      </c>
      <c r="P110" s="8">
        <v>70.002772988864223</v>
      </c>
    </row>
    <row r="111" spans="1:16" x14ac:dyDescent="0.2">
      <c r="A111" s="7">
        <v>44776</v>
      </c>
      <c r="B111" s="4">
        <v>72.199996999999996</v>
      </c>
      <c r="C111" s="4">
        <v>72.669998000000007</v>
      </c>
      <c r="D111" s="4">
        <v>70.360000999999997</v>
      </c>
      <c r="E111" s="4">
        <v>71.580001999999993</v>
      </c>
      <c r="F111" s="6">
        <v>72.428001599999988</v>
      </c>
      <c r="G111" s="6">
        <v>71.901500749999997</v>
      </c>
      <c r="H111" s="3">
        <v>72.878001600000005</v>
      </c>
      <c r="I111" s="3">
        <v>71.978001599999999</v>
      </c>
      <c r="J111">
        <v>72.223463609443243</v>
      </c>
      <c r="K111" s="5">
        <v>72.284126656798165</v>
      </c>
      <c r="L111" s="5">
        <v>-6.0663047354921673E-2</v>
      </c>
      <c r="M111" s="5">
        <v>8.9733690971891003E-2</v>
      </c>
      <c r="N111" s="8">
        <v>73.546499750000009</v>
      </c>
      <c r="O111" s="8">
        <v>77.648576929727469</v>
      </c>
      <c r="P111" s="8">
        <v>69.44442257027255</v>
      </c>
    </row>
    <row r="112" spans="1:16" x14ac:dyDescent="0.2">
      <c r="A112" s="7">
        <v>44777</v>
      </c>
      <c r="B112" s="4">
        <v>71.610000999999997</v>
      </c>
      <c r="C112" s="4">
        <v>73</v>
      </c>
      <c r="D112" s="4">
        <v>69.800003000000004</v>
      </c>
      <c r="E112" s="4">
        <v>70.849997999999999</v>
      </c>
      <c r="F112" s="6">
        <v>71.582000799999989</v>
      </c>
      <c r="G112" s="6">
        <v>71.960000650000012</v>
      </c>
      <c r="H112" s="3">
        <v>71.712001200000003</v>
      </c>
      <c r="I112" s="3">
        <v>71.452000400000003</v>
      </c>
      <c r="J112">
        <v>72.012161207990431</v>
      </c>
      <c r="K112" s="5">
        <v>72.121725416151151</v>
      </c>
      <c r="L112" s="5">
        <v>-0.10956420816071955</v>
      </c>
      <c r="M112" s="5">
        <v>4.4108276026547183E-2</v>
      </c>
      <c r="N112" s="8">
        <v>73.278499699999998</v>
      </c>
      <c r="O112" s="8">
        <v>78.475713865545359</v>
      </c>
      <c r="P112" s="8">
        <v>68.081285534454636</v>
      </c>
    </row>
    <row r="113" spans="1:16" x14ac:dyDescent="0.2">
      <c r="A113" s="7">
        <v>44778</v>
      </c>
      <c r="B113" s="4">
        <v>70.5</v>
      </c>
      <c r="C113" s="4">
        <v>70.849997999999999</v>
      </c>
      <c r="D113" s="4">
        <v>69.120002999999997</v>
      </c>
      <c r="E113" s="4">
        <v>70.160004000000001</v>
      </c>
      <c r="F113" s="6">
        <v>71.206001400000005</v>
      </c>
      <c r="G113" s="6">
        <v>71.938000950000003</v>
      </c>
      <c r="H113" s="3">
        <v>71.434001333333342</v>
      </c>
      <c r="I113" s="3">
        <v>70.978001466666669</v>
      </c>
      <c r="J113">
        <v>71.727213945222672</v>
      </c>
      <c r="K113" s="5">
        <v>71.874964377768919</v>
      </c>
      <c r="L113" s="5">
        <v>-0.1477504325462462</v>
      </c>
      <c r="M113" s="5">
        <v>1.1590977584571898E-3</v>
      </c>
      <c r="N113" s="8">
        <v>73.24949964999999</v>
      </c>
      <c r="O113" s="8">
        <v>78.509859144881332</v>
      </c>
      <c r="P113" s="8">
        <v>67.989140155118648</v>
      </c>
    </row>
    <row r="114" spans="1:16" x14ac:dyDescent="0.2">
      <c r="A114" s="7">
        <v>44781</v>
      </c>
      <c r="B114" s="4">
        <v>70.680000000000007</v>
      </c>
      <c r="C114" s="4">
        <v>73.489998</v>
      </c>
      <c r="D114" s="4">
        <v>70.680000000000007</v>
      </c>
      <c r="E114" s="4">
        <v>73.129997000000003</v>
      </c>
      <c r="F114" s="6">
        <v>71.602000399999994</v>
      </c>
      <c r="G114" s="6">
        <v>72.056500700000001</v>
      </c>
      <c r="H114" s="3">
        <v>71.584667466666659</v>
      </c>
      <c r="I114" s="3">
        <v>71.61933333333333</v>
      </c>
      <c r="J114">
        <v>71.943026722880717</v>
      </c>
      <c r="K114" s="5">
        <v>71.831123801132108</v>
      </c>
      <c r="L114" s="5">
        <v>0.11190292174860872</v>
      </c>
      <c r="M114" s="5">
        <v>-7.351002118280942E-3</v>
      </c>
      <c r="N114" s="8">
        <v>73.33999949999999</v>
      </c>
      <c r="O114" s="8">
        <v>78.436280776631264</v>
      </c>
      <c r="P114" s="8">
        <v>68.243718223368717</v>
      </c>
    </row>
    <row r="115" spans="1:16" x14ac:dyDescent="0.2">
      <c r="A115" s="7">
        <v>44782</v>
      </c>
      <c r="B115" s="4">
        <v>72.739998</v>
      </c>
      <c r="C115" s="4">
        <v>76.330001999999993</v>
      </c>
      <c r="D115" s="4">
        <v>72</v>
      </c>
      <c r="E115" s="4">
        <v>75.540001000000004</v>
      </c>
      <c r="F115" s="6">
        <v>72.252000400000014</v>
      </c>
      <c r="G115" s="6">
        <v>72.419000699999998</v>
      </c>
      <c r="H115" s="3">
        <v>71.572000599999996</v>
      </c>
      <c r="I115" s="3">
        <v>72.932000200000004</v>
      </c>
      <c r="J115">
        <v>72.496407380899072</v>
      </c>
      <c r="K115" s="5">
        <v>72.209469261926586</v>
      </c>
      <c r="L115" s="5">
        <v>0.28693811897248622</v>
      </c>
      <c r="M115" s="5">
        <v>1.567293426332286E-2</v>
      </c>
      <c r="N115" s="8">
        <v>73.207499799999979</v>
      </c>
      <c r="O115" s="8">
        <v>78.462106782350276</v>
      </c>
      <c r="P115" s="8">
        <v>67.952892817649683</v>
      </c>
    </row>
    <row r="116" spans="1:16" x14ac:dyDescent="0.2">
      <c r="A116" s="7">
        <v>44783</v>
      </c>
      <c r="B116" s="4">
        <v>75.260002</v>
      </c>
      <c r="C116" s="4">
        <v>78.489998</v>
      </c>
      <c r="D116" s="4">
        <v>75.260002</v>
      </c>
      <c r="E116" s="4">
        <v>76.309997999999993</v>
      </c>
      <c r="F116" s="6">
        <v>73.197999600000003</v>
      </c>
      <c r="G116" s="6">
        <v>72.782000449999984</v>
      </c>
      <c r="H116" s="3">
        <v>72.111333133333332</v>
      </c>
      <c r="I116" s="3">
        <v>74.284666066666659</v>
      </c>
      <c r="J116">
        <v>73.083113629991516</v>
      </c>
      <c r="K116" s="5">
        <v>72.778895574906542</v>
      </c>
      <c r="L116" s="5">
        <v>0.30421805508497357</v>
      </c>
      <c r="M116" s="5">
        <v>2.4163862388686792E-2</v>
      </c>
      <c r="N116" s="8">
        <v>72.974499599999973</v>
      </c>
      <c r="O116" s="8">
        <v>78.20684182750216</v>
      </c>
      <c r="P116" s="8">
        <v>67.742157372497786</v>
      </c>
    </row>
    <row r="117" spans="1:16" x14ac:dyDescent="0.2">
      <c r="A117" s="7">
        <v>44784</v>
      </c>
      <c r="B117" s="4">
        <v>76.569999999999993</v>
      </c>
      <c r="C117" s="4">
        <v>78.989998</v>
      </c>
      <c r="D117" s="4">
        <v>75.209998999999996</v>
      </c>
      <c r="E117" s="4">
        <v>76.319999999999993</v>
      </c>
      <c r="F117" s="6">
        <v>74.292000000000002</v>
      </c>
      <c r="G117" s="6">
        <v>73.092500399999992</v>
      </c>
      <c r="H117" s="3">
        <v>73.258667133333319</v>
      </c>
      <c r="I117" s="3">
        <v>75.325332866666656</v>
      </c>
      <c r="J117">
        <v>73.58109614845435</v>
      </c>
      <c r="K117" s="5">
        <v>73.322882990732893</v>
      </c>
      <c r="L117" s="5">
        <v>0.25821315772145681</v>
      </c>
      <c r="M117" s="5">
        <v>5.838239194838795E-2</v>
      </c>
      <c r="N117" s="8">
        <v>72.755999799999984</v>
      </c>
      <c r="O117" s="8">
        <v>77.761942943443302</v>
      </c>
      <c r="P117" s="8">
        <v>67.750056656556666</v>
      </c>
    </row>
    <row r="118" spans="1:16" x14ac:dyDescent="0.2">
      <c r="A118" s="7">
        <v>44785</v>
      </c>
      <c r="B118" s="4">
        <v>76.349997999999999</v>
      </c>
      <c r="C118" s="4">
        <v>77.330001999999993</v>
      </c>
      <c r="D118" s="4">
        <v>75</v>
      </c>
      <c r="E118" s="4">
        <v>76.690002000000007</v>
      </c>
      <c r="F118" s="6">
        <v>75.597999600000009</v>
      </c>
      <c r="G118" s="6">
        <v>73.297000600000004</v>
      </c>
      <c r="H118" s="3">
        <v>75.071332333333331</v>
      </c>
      <c r="I118" s="3">
        <v>76.124666866666658</v>
      </c>
      <c r="J118">
        <v>74.059389356384443</v>
      </c>
      <c r="K118" s="5">
        <v>73.811385470791066</v>
      </c>
      <c r="L118" s="5">
        <v>0.24800388559337705</v>
      </c>
      <c r="M118" s="5">
        <v>9.8504632376713308E-2</v>
      </c>
      <c r="N118" s="8">
        <v>72.545999949999995</v>
      </c>
      <c r="O118" s="8">
        <v>77.266679268913833</v>
      </c>
      <c r="P118" s="8">
        <v>67.825320631086157</v>
      </c>
    </row>
    <row r="119" spans="1:16" x14ac:dyDescent="0.2">
      <c r="A119" s="7">
        <v>44788</v>
      </c>
      <c r="B119" s="4">
        <v>76.379997000000003</v>
      </c>
      <c r="C119" s="4">
        <v>76.650002000000001</v>
      </c>
      <c r="D119" s="4">
        <v>74.300003000000004</v>
      </c>
      <c r="E119" s="4">
        <v>75.239998</v>
      </c>
      <c r="F119" s="6">
        <v>76.019999800000008</v>
      </c>
      <c r="G119" s="6">
        <v>73.484000500000008</v>
      </c>
      <c r="H119" s="3">
        <v>76.034666599999994</v>
      </c>
      <c r="I119" s="3">
        <v>76.005333000000007</v>
      </c>
      <c r="J119">
        <v>74.241021455402219</v>
      </c>
      <c r="K119" s="5">
        <v>74.146841848504124</v>
      </c>
      <c r="L119" s="5">
        <v>9.4179606898094903E-2</v>
      </c>
      <c r="M119" s="5">
        <v>0.10949756199523443</v>
      </c>
      <c r="N119" s="8">
        <v>72.362999799999997</v>
      </c>
      <c r="O119" s="8">
        <v>76.67319783780205</v>
      </c>
      <c r="P119" s="8">
        <v>68.052801762197944</v>
      </c>
    </row>
    <row r="120" spans="1:16" x14ac:dyDescent="0.2">
      <c r="A120" s="7">
        <v>44789</v>
      </c>
      <c r="B120" s="4">
        <v>75.180000000000007</v>
      </c>
      <c r="C120" s="4">
        <v>75.989998</v>
      </c>
      <c r="D120" s="4">
        <v>72.849997999999999</v>
      </c>
      <c r="E120" s="4">
        <v>74.769997000000004</v>
      </c>
      <c r="F120" s="6">
        <v>75.865999000000002</v>
      </c>
      <c r="G120" s="6">
        <v>73.619000349999993</v>
      </c>
      <c r="H120" s="3">
        <v>76.143332599999994</v>
      </c>
      <c r="I120" s="3">
        <v>75.588665399999996</v>
      </c>
      <c r="J120">
        <v>74.322402308417253</v>
      </c>
      <c r="K120" s="5">
        <v>74.280204829076141</v>
      </c>
      <c r="L120" s="5">
        <v>4.2197479341112398E-2</v>
      </c>
      <c r="M120" s="5">
        <v>0.12092650940590488</v>
      </c>
      <c r="N120" s="8">
        <v>72.285999750000002</v>
      </c>
      <c r="O120" s="8">
        <v>76.43167464420506</v>
      </c>
      <c r="P120" s="8">
        <v>68.140324855794944</v>
      </c>
    </row>
    <row r="121" spans="1:16" x14ac:dyDescent="0.2">
      <c r="A121" s="7">
        <v>44790</v>
      </c>
      <c r="B121" s="4">
        <v>74.110000999999997</v>
      </c>
      <c r="C121" s="4">
        <v>75.110000999999997</v>
      </c>
      <c r="D121" s="4">
        <v>73.029999000000004</v>
      </c>
      <c r="E121" s="4">
        <v>73.940002000000007</v>
      </c>
      <c r="F121" s="6">
        <v>75.391999799999994</v>
      </c>
      <c r="G121" s="6">
        <v>73.695500249999995</v>
      </c>
      <c r="H121" s="3">
        <v>75.837333199999989</v>
      </c>
      <c r="I121" s="3">
        <v>74.946666399999998</v>
      </c>
      <c r="J121">
        <v>74.263571491737679</v>
      </c>
      <c r="K121" s="5">
        <v>74.294076359645601</v>
      </c>
      <c r="L121" s="5">
        <v>-3.0504867907922062E-2</v>
      </c>
      <c r="M121" s="5">
        <v>0.1297108805451046</v>
      </c>
      <c r="N121" s="8">
        <v>72.198999850000021</v>
      </c>
      <c r="O121" s="8">
        <v>76.195534123700369</v>
      </c>
      <c r="P121" s="8">
        <v>68.202465576299673</v>
      </c>
    </row>
    <row r="122" spans="1:16" x14ac:dyDescent="0.2">
      <c r="A122" s="7">
        <v>44791</v>
      </c>
      <c r="B122" s="4">
        <v>74.040001000000004</v>
      </c>
      <c r="C122" s="4">
        <v>74.279999000000004</v>
      </c>
      <c r="D122" s="4">
        <v>73.010002</v>
      </c>
      <c r="E122" s="4">
        <v>73.559997999999993</v>
      </c>
      <c r="F122" s="6">
        <v>74.839999399999996</v>
      </c>
      <c r="G122" s="6">
        <v>73.723500150000007</v>
      </c>
      <c r="H122" s="3">
        <v>75.343999666666676</v>
      </c>
      <c r="I122" s="3">
        <v>74.335999133333331</v>
      </c>
      <c r="J122">
        <v>74.155329416085721</v>
      </c>
      <c r="K122" s="5">
        <v>74.211454936794155</v>
      </c>
      <c r="L122" s="5">
        <v>-5.6125520708434351E-2</v>
      </c>
      <c r="M122" s="5">
        <v>0.13989142630486148</v>
      </c>
      <c r="N122" s="8">
        <v>72.134499850000012</v>
      </c>
      <c r="O122" s="8">
        <v>76.05361545665609</v>
      </c>
      <c r="P122" s="8">
        <v>68.215384243343934</v>
      </c>
    </row>
    <row r="123" spans="1:16" x14ac:dyDescent="0.2">
      <c r="A123" s="7">
        <v>44792</v>
      </c>
      <c r="B123" s="4">
        <v>73.389999000000003</v>
      </c>
      <c r="C123" s="4">
        <v>74.400002000000001</v>
      </c>
      <c r="D123" s="4">
        <v>72.860000999999997</v>
      </c>
      <c r="E123" s="4">
        <v>73.559997999999993</v>
      </c>
      <c r="F123" s="6">
        <v>74.213998599999996</v>
      </c>
      <c r="G123" s="6">
        <v>73.679499950000007</v>
      </c>
      <c r="H123" s="3">
        <v>74.518665200000001</v>
      </c>
      <c r="I123" s="3">
        <v>73.909332000000006</v>
      </c>
      <c r="J123">
        <v>74.063739967457153</v>
      </c>
      <c r="K123" s="5">
        <v>74.111230792671961</v>
      </c>
      <c r="L123" s="5">
        <v>-4.7490825214808297E-2</v>
      </c>
      <c r="M123" s="5">
        <v>0.12218100997559292</v>
      </c>
      <c r="N123" s="8">
        <v>72.128999800000003</v>
      </c>
      <c r="O123" s="8">
        <v>76.039992450199591</v>
      </c>
      <c r="P123" s="8">
        <v>68.218007149800414</v>
      </c>
    </row>
    <row r="124" spans="1:16" x14ac:dyDescent="0.2">
      <c r="A124" s="7">
        <v>44795</v>
      </c>
      <c r="B124" s="4">
        <v>73.489998</v>
      </c>
      <c r="C124" s="4">
        <v>74.970000999999996</v>
      </c>
      <c r="D124" s="4">
        <v>72.769997000000004</v>
      </c>
      <c r="E124" s="4">
        <v>74.519997000000004</v>
      </c>
      <c r="F124" s="6">
        <v>74.069998400000003</v>
      </c>
      <c r="G124" s="6">
        <v>73.693499900000006</v>
      </c>
      <c r="H124" s="3">
        <v>74.128665333333331</v>
      </c>
      <c r="I124" s="3">
        <v>74.011331466666661</v>
      </c>
      <c r="J124">
        <v>74.13393335707913</v>
      </c>
      <c r="K124" s="5">
        <v>74.097536784682561</v>
      </c>
      <c r="L124" s="5">
        <v>3.6396572396569127E-2</v>
      </c>
      <c r="M124" s="5">
        <v>9.4343060356046574E-2</v>
      </c>
      <c r="N124" s="8">
        <v>72.09699980000002</v>
      </c>
      <c r="O124" s="8">
        <v>75.968971797944036</v>
      </c>
      <c r="P124" s="8">
        <v>68.225027802056005</v>
      </c>
    </row>
    <row r="125" spans="1:16" x14ac:dyDescent="0.2">
      <c r="A125" s="7">
        <v>44796</v>
      </c>
      <c r="B125" s="4">
        <v>74.309997999999993</v>
      </c>
      <c r="C125" s="4">
        <v>74.389999000000003</v>
      </c>
      <c r="D125" s="4">
        <v>72.5</v>
      </c>
      <c r="E125" s="4">
        <v>73.650002000000001</v>
      </c>
      <c r="F125" s="6">
        <v>73.845999400000011</v>
      </c>
      <c r="G125" s="6">
        <v>73.672500000000014</v>
      </c>
      <c r="H125" s="3">
        <v>73.820666133333319</v>
      </c>
      <c r="I125" s="3">
        <v>73.87133266666666</v>
      </c>
      <c r="J125">
        <v>74.059482379066964</v>
      </c>
      <c r="K125" s="5">
        <v>74.098086589888084</v>
      </c>
      <c r="L125" s="5">
        <v>-3.8604210821119977E-2</v>
      </c>
      <c r="M125" s="5">
        <v>5.6251697477591733E-2</v>
      </c>
      <c r="N125" s="8">
        <v>72.019500000000008</v>
      </c>
      <c r="O125" s="8">
        <v>75.74660937125303</v>
      </c>
      <c r="P125" s="8">
        <v>68.292390628746986</v>
      </c>
    </row>
    <row r="126" spans="1:16" x14ac:dyDescent="0.2">
      <c r="A126" s="7">
        <v>44797</v>
      </c>
      <c r="B126" s="4">
        <v>73.949996999999996</v>
      </c>
      <c r="C126" s="4">
        <v>74.059997999999993</v>
      </c>
      <c r="D126" s="4">
        <v>72.720000999999996</v>
      </c>
      <c r="E126" s="4">
        <v>73.5</v>
      </c>
      <c r="F126" s="6">
        <v>73.757998999999998</v>
      </c>
      <c r="G126" s="6">
        <v>73.694000000000017</v>
      </c>
      <c r="H126" s="3">
        <v>73.759998466666673</v>
      </c>
      <c r="I126" s="3">
        <v>73.755999533333338</v>
      </c>
      <c r="J126">
        <v>73.973408166902814</v>
      </c>
      <c r="K126" s="5">
        <v>74.018039239876813</v>
      </c>
      <c r="L126" s="5">
        <v>-4.4631072973999153E-2</v>
      </c>
      <c r="M126" s="5">
        <v>2.260233851142996E-2</v>
      </c>
      <c r="N126" s="8">
        <v>72.016499700000011</v>
      </c>
      <c r="O126" s="8">
        <v>75.738175217915654</v>
      </c>
      <c r="P126" s="8">
        <v>68.294824182084369</v>
      </c>
    </row>
    <row r="127" spans="1:16" x14ac:dyDescent="0.2">
      <c r="A127" s="7">
        <v>44798</v>
      </c>
      <c r="B127" s="4">
        <v>73.440002000000007</v>
      </c>
      <c r="C127" s="4">
        <v>73.910004000000001</v>
      </c>
      <c r="D127" s="4">
        <v>72.5</v>
      </c>
      <c r="E127" s="4">
        <v>73.610000999999997</v>
      </c>
      <c r="F127" s="6">
        <v>73.76799960000001</v>
      </c>
      <c r="G127" s="6">
        <v>73.620499949999996</v>
      </c>
      <c r="H127" s="3">
        <v>73.82933233333334</v>
      </c>
      <c r="I127" s="3">
        <v>73.706666866666666</v>
      </c>
      <c r="J127">
        <v>73.917499371994694</v>
      </c>
      <c r="K127" s="5">
        <v>73.946489117502594</v>
      </c>
      <c r="L127" s="5">
        <v>-2.8989745507900011E-2</v>
      </c>
      <c r="M127" s="5">
        <v>-8.1747316109341585E-3</v>
      </c>
      <c r="N127" s="8">
        <v>72.1004997</v>
      </c>
      <c r="O127" s="8">
        <v>76.033021782009811</v>
      </c>
      <c r="P127" s="8">
        <v>68.167977617990189</v>
      </c>
    </row>
    <row r="128" spans="1:16" x14ac:dyDescent="0.2">
      <c r="A128" s="7">
        <v>44799</v>
      </c>
      <c r="B128" s="4">
        <v>73.980002999999996</v>
      </c>
      <c r="C128" s="4">
        <v>74.010002</v>
      </c>
      <c r="D128" s="4">
        <v>73</v>
      </c>
      <c r="E128" s="4">
        <v>73.400002000000001</v>
      </c>
      <c r="F128" s="6">
        <v>73.736000400000009</v>
      </c>
      <c r="G128" s="6">
        <v>73.688500000000019</v>
      </c>
      <c r="H128" s="3">
        <v>73.887999799999989</v>
      </c>
      <c r="I128" s="3">
        <v>73.584001000000001</v>
      </c>
      <c r="J128">
        <v>73.837884391687822</v>
      </c>
      <c r="K128" s="5">
        <v>73.879166233328419</v>
      </c>
      <c r="L128" s="5">
        <v>-4.1281841640596895E-2</v>
      </c>
      <c r="M128" s="5">
        <v>-2.3226003670788802E-2</v>
      </c>
      <c r="N128" s="8">
        <v>72.039499599999999</v>
      </c>
      <c r="O128" s="8">
        <v>75.910804631479394</v>
      </c>
      <c r="P128" s="8">
        <v>68.168194568520605</v>
      </c>
    </row>
    <row r="129" spans="1:16" x14ac:dyDescent="0.2">
      <c r="A129" s="7">
        <v>44802</v>
      </c>
      <c r="B129" s="4">
        <v>72.889999000000003</v>
      </c>
      <c r="C129" s="4">
        <v>73.230002999999996</v>
      </c>
      <c r="D129" s="4">
        <v>70.330001999999993</v>
      </c>
      <c r="E129" s="4">
        <v>71.129997000000003</v>
      </c>
      <c r="F129" s="6">
        <v>73.058000399999997</v>
      </c>
      <c r="G129" s="6">
        <v>73.687499750000015</v>
      </c>
      <c r="H129" s="3">
        <v>73.400667600000006</v>
      </c>
      <c r="I129" s="3">
        <v>72.715333200000003</v>
      </c>
      <c r="J129">
        <v>73.421286331428163</v>
      </c>
      <c r="K129" s="5">
        <v>73.637300140451686</v>
      </c>
      <c r="L129" s="5">
        <v>-0.21601380902352219</v>
      </c>
      <c r="M129" s="5">
        <v>-5.1916146822414869E-2</v>
      </c>
      <c r="N129" s="8">
        <v>71.944499499999992</v>
      </c>
      <c r="O129" s="8">
        <v>75.768188961903533</v>
      </c>
      <c r="P129" s="8">
        <v>68.120810038096451</v>
      </c>
    </row>
    <row r="130" spans="1:16" x14ac:dyDescent="0.2">
      <c r="A130" s="7">
        <v>44803</v>
      </c>
      <c r="B130" s="4">
        <v>71.150002000000001</v>
      </c>
      <c r="C130" s="4">
        <v>71.370002999999997</v>
      </c>
      <c r="D130" s="4">
        <v>68.980002999999996</v>
      </c>
      <c r="E130" s="4">
        <v>69.470000999999996</v>
      </c>
      <c r="F130" s="6">
        <v>72.222000199999997</v>
      </c>
      <c r="G130" s="6">
        <v>73.546499750000009</v>
      </c>
      <c r="H130" s="3">
        <v>72.924666999999999</v>
      </c>
      <c r="I130" s="3">
        <v>71.519333399999994</v>
      </c>
      <c r="J130">
        <v>72.813396280439207</v>
      </c>
      <c r="K130" s="5">
        <v>73.128598529100159</v>
      </c>
      <c r="L130" s="5">
        <v>-0.31520224866095248</v>
      </c>
      <c r="M130" s="5">
        <v>-8.3549189128307139E-2</v>
      </c>
      <c r="N130" s="8">
        <v>72.063499749999991</v>
      </c>
      <c r="O130" s="8">
        <v>75.928375802893527</v>
      </c>
      <c r="P130" s="8">
        <v>68.198623697106456</v>
      </c>
    </row>
    <row r="131" spans="1:16" x14ac:dyDescent="0.2">
      <c r="A131" s="7">
        <v>44804</v>
      </c>
      <c r="B131" s="4">
        <v>69.339995999999999</v>
      </c>
      <c r="C131" s="4">
        <v>69.690002000000007</v>
      </c>
      <c r="D131" s="4">
        <v>64.690002000000007</v>
      </c>
      <c r="E131" s="4">
        <v>66.220000999999996</v>
      </c>
      <c r="F131" s="6">
        <v>70.76600040000001</v>
      </c>
      <c r="G131" s="6">
        <v>73.278499699999998</v>
      </c>
      <c r="H131" s="3">
        <v>72.013333799999998</v>
      </c>
      <c r="I131" s="3">
        <v>69.518666999999994</v>
      </c>
      <c r="J131">
        <v>71.799027775756258</v>
      </c>
      <c r="K131" s="5">
        <v>72.324996630036296</v>
      </c>
      <c r="L131" s="5">
        <v>-0.52596885428003759</v>
      </c>
      <c r="M131" s="5">
        <v>-0.13575400396959639</v>
      </c>
      <c r="N131" s="8">
        <v>72.26499969999999</v>
      </c>
      <c r="O131" s="8">
        <v>75.977773394326391</v>
      </c>
      <c r="P131" s="8">
        <v>68.552226005673589</v>
      </c>
    </row>
    <row r="132" spans="1:16" x14ac:dyDescent="0.2">
      <c r="A132" s="7">
        <v>44805</v>
      </c>
      <c r="B132" s="4">
        <v>66.470000999999996</v>
      </c>
      <c r="C132" s="4">
        <v>71.330001999999993</v>
      </c>
      <c r="D132" s="4">
        <v>65.839995999999999</v>
      </c>
      <c r="E132" s="4">
        <v>70.269997000000004</v>
      </c>
      <c r="F132" s="6">
        <v>70.097999600000009</v>
      </c>
      <c r="G132" s="6">
        <v>73.24949964999999</v>
      </c>
      <c r="H132" s="3">
        <v>70.842666666666673</v>
      </c>
      <c r="I132" s="3">
        <v>69.353332533333329</v>
      </c>
      <c r="J132">
        <v>71.563792271793758</v>
      </c>
      <c r="K132" s="5">
        <v>71.685766236811347</v>
      </c>
      <c r="L132" s="5">
        <v>-0.12197396501758817</v>
      </c>
      <c r="M132" s="5">
        <v>-0.14402990839212748</v>
      </c>
      <c r="N132" s="8">
        <v>72.590999549999992</v>
      </c>
      <c r="O132" s="8">
        <v>74.976718748992241</v>
      </c>
      <c r="P132" s="8">
        <v>70.205280351007744</v>
      </c>
    </row>
    <row r="133" spans="1:16" x14ac:dyDescent="0.2">
      <c r="A133" s="7">
        <v>44806</v>
      </c>
      <c r="B133" s="4">
        <v>71</v>
      </c>
      <c r="C133" s="4">
        <v>72.349997999999999</v>
      </c>
      <c r="D133" s="4">
        <v>70.300003000000004</v>
      </c>
      <c r="E133" s="4">
        <v>71.970000999999996</v>
      </c>
      <c r="F133" s="6">
        <v>69.811999399999991</v>
      </c>
      <c r="G133" s="6">
        <v>73.33999949999999</v>
      </c>
      <c r="H133" s="3">
        <v>69.646665799999994</v>
      </c>
      <c r="I133" s="3">
        <v>69.977333000000002</v>
      </c>
      <c r="J133">
        <v>71.626285922287025</v>
      </c>
      <c r="K133" s="5">
        <v>71.593881807216434</v>
      </c>
      <c r="L133" s="5">
        <v>3.2404115070590933E-2</v>
      </c>
      <c r="M133" s="5">
        <v>-0.1444735147616806</v>
      </c>
      <c r="N133" s="8">
        <v>72.615999549999998</v>
      </c>
      <c r="O133" s="8">
        <v>74.907947189159913</v>
      </c>
      <c r="P133" s="8">
        <v>70.324051910840083</v>
      </c>
    </row>
    <row r="134" spans="1:16" x14ac:dyDescent="0.2">
      <c r="A134" s="7">
        <v>44809</v>
      </c>
      <c r="B134" s="4">
        <v>72.349997999999999</v>
      </c>
      <c r="C134" s="4">
        <v>72.349997999999999</v>
      </c>
      <c r="D134" s="4">
        <v>69.980002999999996</v>
      </c>
      <c r="E134" s="4">
        <v>70.480002999999996</v>
      </c>
      <c r="F134" s="6">
        <v>69.682000599999995</v>
      </c>
      <c r="G134" s="6">
        <v>73.207499799999979</v>
      </c>
      <c r="H134" s="3">
        <v>69.164000333333334</v>
      </c>
      <c r="I134" s="3">
        <v>70.20000086666667</v>
      </c>
      <c r="J134">
        <v>71.449934703473645</v>
      </c>
      <c r="K134" s="5">
        <v>71.541376076191696</v>
      </c>
      <c r="L134" s="5">
        <v>-9.1441372718051639E-2</v>
      </c>
      <c r="M134" s="5">
        <v>-0.15034431052800634</v>
      </c>
      <c r="N134" s="8">
        <v>72.603999650000006</v>
      </c>
      <c r="O134" s="8">
        <v>74.912640613451543</v>
      </c>
      <c r="P134" s="8">
        <v>70.295358686548468</v>
      </c>
    </row>
    <row r="135" spans="1:16" x14ac:dyDescent="0.2">
      <c r="A135" s="7">
        <v>44810</v>
      </c>
      <c r="B135" s="4">
        <v>70.510002</v>
      </c>
      <c r="C135" s="4">
        <v>71.019997000000004</v>
      </c>
      <c r="D135" s="4">
        <v>69.830001999999993</v>
      </c>
      <c r="E135" s="4">
        <v>70.879997000000003</v>
      </c>
      <c r="F135" s="6">
        <v>69.963999799999996</v>
      </c>
      <c r="G135" s="6">
        <v>72.974499599999973</v>
      </c>
      <c r="H135" s="3">
        <v>69.328666600000005</v>
      </c>
      <c r="I135" s="3">
        <v>70.599333000000001</v>
      </c>
      <c r="J135">
        <v>71.362251979862322</v>
      </c>
      <c r="K135" s="5">
        <v>71.407717095808934</v>
      </c>
      <c r="L135" s="5">
        <v>-4.54651159466124E-2</v>
      </c>
      <c r="M135" s="5">
        <v>-0.15043698196940783</v>
      </c>
      <c r="N135" s="8">
        <v>72.663999500000003</v>
      </c>
      <c r="O135" s="8">
        <v>74.795817289196478</v>
      </c>
      <c r="P135" s="8">
        <v>70.532181710803528</v>
      </c>
    </row>
    <row r="136" spans="1:16" x14ac:dyDescent="0.2">
      <c r="A136" s="7">
        <v>44811</v>
      </c>
      <c r="B136" s="4">
        <v>70.889999000000003</v>
      </c>
      <c r="C136" s="4">
        <v>72.300003000000004</v>
      </c>
      <c r="D136" s="4">
        <v>69.300003000000004</v>
      </c>
      <c r="E136" s="4">
        <v>71.940002000000007</v>
      </c>
      <c r="F136" s="6">
        <v>71.108000000000004</v>
      </c>
      <c r="G136" s="6">
        <v>72.755999799999984</v>
      </c>
      <c r="H136" s="3">
        <v>70.957999600000008</v>
      </c>
      <c r="I136" s="3">
        <v>71.2580004</v>
      </c>
      <c r="J136">
        <v>71.451136598345045</v>
      </c>
      <c r="K136" s="5">
        <v>71.405048277650309</v>
      </c>
      <c r="L136" s="5">
        <v>4.6088320694735785E-2</v>
      </c>
      <c r="M136" s="5">
        <v>-0.14209497461355941</v>
      </c>
      <c r="N136" s="8">
        <v>72.732999750000005</v>
      </c>
      <c r="O136" s="8">
        <v>74.705035942156826</v>
      </c>
      <c r="P136" s="8">
        <v>70.760963557843183</v>
      </c>
    </row>
    <row r="137" spans="1:16" x14ac:dyDescent="0.2">
      <c r="A137" s="7">
        <v>44812</v>
      </c>
      <c r="B137" s="4">
        <v>72.930000000000007</v>
      </c>
      <c r="C137" s="4">
        <v>72.930000000000007</v>
      </c>
      <c r="D137" s="4">
        <v>70.919998000000007</v>
      </c>
      <c r="E137" s="4">
        <v>72.120002999999997</v>
      </c>
      <c r="F137" s="6">
        <v>71.478001199999994</v>
      </c>
      <c r="G137" s="6">
        <v>72.545999949999995</v>
      </c>
      <c r="H137" s="3">
        <v>71.360667666666657</v>
      </c>
      <c r="I137" s="3">
        <v>71.595334733333345</v>
      </c>
      <c r="J137">
        <v>71.554039121676581</v>
      </c>
      <c r="K137" s="5">
        <v>71.500682257726893</v>
      </c>
      <c r="L137" s="5">
        <v>5.3356863949687749E-2</v>
      </c>
      <c r="M137" s="5">
        <v>-0.13157956288130557</v>
      </c>
      <c r="N137" s="8">
        <v>72.687999700000006</v>
      </c>
      <c r="O137" s="8">
        <v>74.774008292407203</v>
      </c>
      <c r="P137" s="8">
        <v>70.601991107592809</v>
      </c>
    </row>
    <row r="138" spans="1:16" x14ac:dyDescent="0.2">
      <c r="A138" s="7">
        <v>44813</v>
      </c>
      <c r="B138" s="4">
        <v>72.440002000000007</v>
      </c>
      <c r="C138" s="4">
        <v>73.360000999999997</v>
      </c>
      <c r="D138" s="4">
        <v>71.400002000000001</v>
      </c>
      <c r="E138" s="4">
        <v>73.029999000000004</v>
      </c>
      <c r="F138" s="6">
        <v>71.690000800000007</v>
      </c>
      <c r="G138" s="6">
        <v>72.362999799999997</v>
      </c>
      <c r="H138" s="3">
        <v>71.267334266666666</v>
      </c>
      <c r="I138" s="3">
        <v>72.112667333333334</v>
      </c>
      <c r="J138">
        <v>71.781109872187884</v>
      </c>
      <c r="K138" s="5">
        <v>71.663369483033875</v>
      </c>
      <c r="L138" s="5">
        <v>0.11774038915400808</v>
      </c>
      <c r="M138" s="5">
        <v>-9.4495763083802198E-2</v>
      </c>
      <c r="N138" s="8">
        <v>72.726499500000017</v>
      </c>
      <c r="O138" s="8">
        <v>74.796731627847819</v>
      </c>
      <c r="P138" s="8">
        <v>70.656267372152215</v>
      </c>
    </row>
    <row r="139" spans="1:16" x14ac:dyDescent="0.2">
      <c r="A139" s="7">
        <v>44816</v>
      </c>
      <c r="B139" s="4">
        <v>73.540001000000004</v>
      </c>
      <c r="C139" s="4">
        <v>74.239998</v>
      </c>
      <c r="D139" s="4">
        <v>73.150002000000001</v>
      </c>
      <c r="E139" s="4">
        <v>73.699996999999996</v>
      </c>
      <c r="F139" s="6">
        <v>72.333999599999999</v>
      </c>
      <c r="G139" s="6">
        <v>72.285999750000002</v>
      </c>
      <c r="H139" s="3">
        <v>71.885333133333333</v>
      </c>
      <c r="I139" s="3">
        <v>72.782666066666664</v>
      </c>
      <c r="J139">
        <v>72.076323276466667</v>
      </c>
      <c r="K139" s="5">
        <v>71.923249659433239</v>
      </c>
      <c r="L139" s="5">
        <v>0.15307361703342792</v>
      </c>
      <c r="M139" s="5">
        <v>-4.2465111339982146E-2</v>
      </c>
      <c r="N139" s="8">
        <v>72.595499750000016</v>
      </c>
      <c r="O139" s="8">
        <v>74.902863742232469</v>
      </c>
      <c r="P139" s="8">
        <v>70.288135757767563</v>
      </c>
    </row>
    <row r="140" spans="1:16" x14ac:dyDescent="0.2">
      <c r="A140" s="7">
        <v>44817</v>
      </c>
      <c r="B140" s="4">
        <v>73.410004000000001</v>
      </c>
      <c r="C140" s="4">
        <v>74.050003000000004</v>
      </c>
      <c r="D140" s="4">
        <v>72.300003000000004</v>
      </c>
      <c r="E140" s="4">
        <v>73.029999000000004</v>
      </c>
      <c r="F140" s="6">
        <v>72.763999999999982</v>
      </c>
      <c r="G140" s="6">
        <v>72.198999850000021</v>
      </c>
      <c r="H140" s="3">
        <v>72.513334133333331</v>
      </c>
      <c r="I140" s="3">
        <v>73.014665866666661</v>
      </c>
      <c r="J140">
        <v>72.223042618548718</v>
      </c>
      <c r="K140" s="5">
        <v>72.146965922654317</v>
      </c>
      <c r="L140" s="5">
        <v>7.6076695894400359E-2</v>
      </c>
      <c r="M140" s="5">
        <v>2.4428838679399847E-2</v>
      </c>
      <c r="N140" s="8">
        <v>72.510499899999999</v>
      </c>
      <c r="O140" s="8">
        <v>74.77132728008543</v>
      </c>
      <c r="P140" s="8">
        <v>70.249672519914569</v>
      </c>
    </row>
    <row r="141" spans="1:16" x14ac:dyDescent="0.2">
      <c r="A141" s="7">
        <v>44818</v>
      </c>
      <c r="B141" s="4">
        <v>73.269997000000004</v>
      </c>
      <c r="C141" s="4">
        <v>75</v>
      </c>
      <c r="D141" s="4">
        <v>71.709998999999996</v>
      </c>
      <c r="E141" s="4">
        <v>72.650002000000001</v>
      </c>
      <c r="F141" s="6">
        <v>72.905999999999992</v>
      </c>
      <c r="G141" s="6">
        <v>72.134499850000012</v>
      </c>
      <c r="H141" s="3">
        <v>72.835333466666654</v>
      </c>
      <c r="I141" s="3">
        <v>72.976666533333329</v>
      </c>
      <c r="J141">
        <v>72.288728677233536</v>
      </c>
      <c r="K141" s="5">
        <v>72.254669239396961</v>
      </c>
      <c r="L141" s="5">
        <v>3.4059437836575057E-2</v>
      </c>
      <c r="M141" s="5">
        <v>4.1765883440973539E-2</v>
      </c>
      <c r="N141" s="8">
        <v>72.418500050000006</v>
      </c>
      <c r="O141" s="8">
        <v>74.739272291850682</v>
      </c>
      <c r="P141" s="8">
        <v>70.09772780814933</v>
      </c>
    </row>
    <row r="142" spans="1:16" x14ac:dyDescent="0.2">
      <c r="A142" s="7">
        <v>44819</v>
      </c>
      <c r="B142" s="4">
        <v>72.519997000000004</v>
      </c>
      <c r="C142" s="4">
        <v>73.779999000000004</v>
      </c>
      <c r="D142" s="4">
        <v>72.209998999999996</v>
      </c>
      <c r="E142" s="4">
        <v>73.449996999999996</v>
      </c>
      <c r="F142" s="6">
        <v>73.171998799999997</v>
      </c>
      <c r="G142" s="6">
        <v>72.128999800000003</v>
      </c>
      <c r="H142" s="3">
        <v>73.185998733333321</v>
      </c>
      <c r="I142" s="3">
        <v>73.157998866666674</v>
      </c>
      <c r="J142">
        <v>72.467385342274525</v>
      </c>
      <c r="K142" s="5">
        <v>72.374748552994021</v>
      </c>
      <c r="L142" s="5">
        <v>9.2636789280504672E-2</v>
      </c>
      <c r="M142" s="5">
        <v>4.8458402797630619E-2</v>
      </c>
      <c r="N142" s="8">
        <v>72.319499850000014</v>
      </c>
      <c r="O142" s="8">
        <v>74.764303943629756</v>
      </c>
      <c r="P142" s="8">
        <v>69.874695756370272</v>
      </c>
    </row>
    <row r="143" spans="1:16" x14ac:dyDescent="0.2">
      <c r="A143" s="7">
        <v>44823</v>
      </c>
      <c r="B143" s="4">
        <v>73.430000000000007</v>
      </c>
      <c r="C143" s="4">
        <v>75</v>
      </c>
      <c r="D143" s="4">
        <v>71.209998999999996</v>
      </c>
      <c r="E143" s="4">
        <v>72.919998000000007</v>
      </c>
      <c r="F143" s="6">
        <v>73.149998600000004</v>
      </c>
      <c r="G143" s="6">
        <v>72.09699980000002</v>
      </c>
      <c r="H143" s="3">
        <v>73.225998600000011</v>
      </c>
      <c r="I143" s="3">
        <v>73.073998599999996</v>
      </c>
      <c r="J143">
        <v>72.537018058847679</v>
      </c>
      <c r="K143" s="5">
        <v>72.500912205809755</v>
      </c>
      <c r="L143" s="5">
        <v>3.6105853037923907E-2</v>
      </c>
      <c r="M143" s="5">
        <v>6.2630316770516795E-2</v>
      </c>
      <c r="N143" s="8">
        <v>72.149999900000012</v>
      </c>
      <c r="O143" s="8">
        <v>74.73105593275632</v>
      </c>
      <c r="P143" s="8">
        <v>69.568943867243703</v>
      </c>
    </row>
    <row r="144" spans="1:16" x14ac:dyDescent="0.2">
      <c r="A144" s="7">
        <v>44824</v>
      </c>
      <c r="B144" s="4">
        <v>73.220000999999996</v>
      </c>
      <c r="C144" s="4">
        <v>73.489998</v>
      </c>
      <c r="D144" s="4">
        <v>72.040001000000004</v>
      </c>
      <c r="E144" s="4">
        <v>72.970000999999996</v>
      </c>
      <c r="F144" s="6">
        <v>73.003999399999998</v>
      </c>
      <c r="G144" s="6">
        <v>72.019500000000008</v>
      </c>
      <c r="H144" s="3">
        <v>72.993999400000007</v>
      </c>
      <c r="I144" s="3">
        <v>73.013999399999989</v>
      </c>
      <c r="J144">
        <v>72.603630819024957</v>
      </c>
      <c r="K144" s="5">
        <v>72.569090869303409</v>
      </c>
      <c r="L144" s="5">
        <v>3.4539949721548169E-2</v>
      </c>
      <c r="M144" s="5">
        <v>7.1519768511423526E-2</v>
      </c>
      <c r="N144" s="8">
        <v>72.153999999999996</v>
      </c>
      <c r="O144" s="8">
        <v>74.740323207712692</v>
      </c>
      <c r="P144" s="8">
        <v>69.567676792287301</v>
      </c>
    </row>
    <row r="145" spans="1:20" x14ac:dyDescent="0.2">
      <c r="A145" s="7">
        <v>44825</v>
      </c>
      <c r="B145" s="4">
        <v>73</v>
      </c>
      <c r="C145" s="4">
        <v>74</v>
      </c>
      <c r="D145" s="4">
        <v>72.129997000000003</v>
      </c>
      <c r="E145" s="4">
        <v>73.589995999999999</v>
      </c>
      <c r="F145" s="6">
        <v>73.1159988</v>
      </c>
      <c r="G145" s="6">
        <v>72.016499700000011</v>
      </c>
      <c r="H145" s="3">
        <v>73.022666000000001</v>
      </c>
      <c r="I145" s="3">
        <v>73.209331599999999</v>
      </c>
      <c r="J145">
        <v>72.755379308405736</v>
      </c>
      <c r="K145" s="5">
        <v>72.676694906504594</v>
      </c>
      <c r="L145" s="5">
        <v>7.8684401901142564E-2</v>
      </c>
      <c r="M145" s="5">
        <v>7.5141555312135386E-2</v>
      </c>
      <c r="N145" s="8">
        <v>72.101999950000007</v>
      </c>
      <c r="O145" s="8">
        <v>74.660918718545858</v>
      </c>
      <c r="P145" s="8">
        <v>69.543081181454156</v>
      </c>
    </row>
    <row r="146" spans="1:20" x14ac:dyDescent="0.2">
      <c r="A146" s="7">
        <v>44826</v>
      </c>
      <c r="B146" s="4">
        <v>73.389999000000003</v>
      </c>
      <c r="C146" s="4">
        <v>75.519997000000004</v>
      </c>
      <c r="D146" s="4">
        <v>72.010002</v>
      </c>
      <c r="E146" s="4">
        <v>75.180000000000007</v>
      </c>
      <c r="F146" s="6">
        <v>73.62199840000001</v>
      </c>
      <c r="G146" s="6">
        <v>72.1004997</v>
      </c>
      <c r="H146" s="3">
        <v>73.346664799999999</v>
      </c>
      <c r="I146" s="3">
        <v>73.897332000000006</v>
      </c>
      <c r="J146">
        <v>73.128397876343314</v>
      </c>
      <c r="K146" s="5">
        <v>72.934980841116428</v>
      </c>
      <c r="L146" s="5">
        <v>0.19341703522688647</v>
      </c>
      <c r="M146" s="5">
        <v>9.0703796565157466E-2</v>
      </c>
      <c r="N146" s="8">
        <v>71.924500199999997</v>
      </c>
      <c r="O146" s="8">
        <v>74.540680388710697</v>
      </c>
      <c r="P146" s="8">
        <v>69.308320011289297</v>
      </c>
    </row>
    <row r="147" spans="1:20" x14ac:dyDescent="0.2">
      <c r="A147" s="7">
        <v>44827</v>
      </c>
      <c r="B147" s="4">
        <v>75.180000000000007</v>
      </c>
      <c r="C147" s="4">
        <v>75.180000000000007</v>
      </c>
      <c r="D147" s="4">
        <v>72</v>
      </c>
      <c r="E147" s="4">
        <v>72.389999000000003</v>
      </c>
      <c r="F147" s="6">
        <v>73.409998799999997</v>
      </c>
      <c r="G147" s="6">
        <v>72.039499599999999</v>
      </c>
      <c r="H147" s="3">
        <v>73.333332066666671</v>
      </c>
      <c r="I147" s="3">
        <v>73.486665533333337</v>
      </c>
      <c r="J147">
        <v>73.014798049213567</v>
      </c>
      <c r="K147" s="5">
        <v>73.073701663280843</v>
      </c>
      <c r="L147" s="5">
        <v>-5.8903614067276067E-2</v>
      </c>
      <c r="M147" s="5">
        <v>7.1076685096125899E-2</v>
      </c>
      <c r="N147" s="8">
        <v>71.690500200000002</v>
      </c>
      <c r="O147" s="8">
        <v>73.883632834578904</v>
      </c>
      <c r="P147" s="8">
        <v>69.497367565421101</v>
      </c>
    </row>
    <row r="148" spans="1:20" x14ac:dyDescent="0.2">
      <c r="A148" s="7">
        <v>44830</v>
      </c>
      <c r="B148" s="4">
        <v>72.769997000000004</v>
      </c>
      <c r="C148" s="4">
        <v>74.690002000000007</v>
      </c>
      <c r="D148" s="4">
        <v>71.050003000000004</v>
      </c>
      <c r="E148" s="4">
        <v>71.5</v>
      </c>
      <c r="F148" s="6">
        <v>73.125999199999995</v>
      </c>
      <c r="G148" s="6">
        <v>71.944499499999992</v>
      </c>
      <c r="H148" s="3">
        <v>73.401999133333334</v>
      </c>
      <c r="I148" s="3">
        <v>72.849999266666671</v>
      </c>
      <c r="J148">
        <v>72.781752195488394</v>
      </c>
      <c r="K148" s="5">
        <v>72.902590786308849</v>
      </c>
      <c r="L148" s="5">
        <v>-0.12083859082045478</v>
      </c>
      <c r="M148" s="5">
        <v>4.0641995334583375E-2</v>
      </c>
      <c r="N148" s="8">
        <v>71.661000400000006</v>
      </c>
      <c r="O148" s="8">
        <v>73.83025851252394</v>
      </c>
      <c r="P148" s="8">
        <v>69.491742287476072</v>
      </c>
    </row>
    <row r="149" spans="1:20" x14ac:dyDescent="0.2">
      <c r="A149" s="7">
        <v>44831</v>
      </c>
      <c r="B149" s="4">
        <v>71.730002999999996</v>
      </c>
      <c r="C149" s="4">
        <v>74.800003000000004</v>
      </c>
      <c r="D149" s="4">
        <v>71.730002999999996</v>
      </c>
      <c r="E149" s="4">
        <v>73.510002</v>
      </c>
      <c r="F149" s="6">
        <v>73.233999399999988</v>
      </c>
      <c r="G149" s="6">
        <v>72.063499749999991</v>
      </c>
      <c r="H149" s="3">
        <v>73.489998599999993</v>
      </c>
      <c r="I149" s="3">
        <v>72.978000199999997</v>
      </c>
      <c r="J149">
        <v>72.893790626951727</v>
      </c>
      <c r="K149" s="5">
        <v>72.835696625452215</v>
      </c>
      <c r="L149" s="5">
        <v>5.809400149951216E-2</v>
      </c>
      <c r="M149" s="5">
        <v>3.8643918179595796E-2</v>
      </c>
      <c r="N149" s="8">
        <v>71.754500550000003</v>
      </c>
      <c r="O149" s="8">
        <v>74.051954829990564</v>
      </c>
      <c r="P149" s="8">
        <v>69.457046270009442</v>
      </c>
    </row>
    <row r="150" spans="1:20" x14ac:dyDescent="0.2">
      <c r="A150" s="7">
        <v>44832</v>
      </c>
      <c r="B150" s="4">
        <v>73.5</v>
      </c>
      <c r="C150" s="4">
        <v>74.400002000000001</v>
      </c>
      <c r="D150" s="4">
        <v>72.360000999999997</v>
      </c>
      <c r="E150" s="4">
        <v>73.5</v>
      </c>
      <c r="F150" s="6">
        <v>73.216000199999996</v>
      </c>
      <c r="G150" s="6">
        <v>72.26499969999999</v>
      </c>
      <c r="H150" s="3">
        <v>73.365333333333353</v>
      </c>
      <c r="I150" s="3">
        <v>73.066667066666668</v>
      </c>
      <c r="J150">
        <v>72.987053607420691</v>
      </c>
      <c r="K150" s="5">
        <v>72.938695024955308</v>
      </c>
      <c r="L150" s="5">
        <v>4.8358582465382938E-2</v>
      </c>
      <c r="M150" s="5">
        <v>4.0232712027241116E-2</v>
      </c>
      <c r="N150" s="8">
        <v>71.840000500000002</v>
      </c>
      <c r="O150" s="8">
        <v>74.509658865688138</v>
      </c>
      <c r="P150" s="8">
        <v>69.170342134311866</v>
      </c>
    </row>
    <row r="151" spans="1:20" x14ac:dyDescent="0.2">
      <c r="A151" s="7">
        <v>44833</v>
      </c>
      <c r="B151" s="4">
        <v>73.269997000000004</v>
      </c>
      <c r="C151" s="4">
        <v>73.970000999999996</v>
      </c>
      <c r="D151" s="4">
        <v>72.199996999999996</v>
      </c>
      <c r="E151" s="4">
        <v>72.739998</v>
      </c>
      <c r="F151" s="6">
        <v>72.727999799999992</v>
      </c>
      <c r="G151" s="6">
        <v>72.590999549999992</v>
      </c>
      <c r="H151" s="3">
        <v>72.547999933333344</v>
      </c>
      <c r="I151" s="3">
        <v>72.907999666666669</v>
      </c>
      <c r="J151">
        <v>72.949045052432893</v>
      </c>
      <c r="K151" s="5">
        <v>72.968753192056198</v>
      </c>
      <c r="L151" s="5">
        <v>-1.9708139623304533E-2</v>
      </c>
      <c r="M151" s="5">
        <v>2.7749942149040092E-2</v>
      </c>
      <c r="N151" s="8">
        <v>71.895000399999986</v>
      </c>
      <c r="O151" s="8">
        <v>74.74770357160395</v>
      </c>
      <c r="P151" s="8">
        <v>69.042297228396023</v>
      </c>
      <c r="T151" t="s">
        <v>33</v>
      </c>
    </row>
    <row r="152" spans="1:20" x14ac:dyDescent="0.2">
      <c r="A152" s="7">
        <v>44834</v>
      </c>
      <c r="B152" s="4">
        <v>72.510002</v>
      </c>
      <c r="C152" s="4">
        <v>74.879997000000003</v>
      </c>
      <c r="D152" s="4">
        <v>70.730002999999996</v>
      </c>
      <c r="E152" s="4">
        <v>70.769997000000004</v>
      </c>
      <c r="F152" s="6">
        <v>72.403999400000004</v>
      </c>
      <c r="G152" s="6">
        <v>72.615999549999998</v>
      </c>
      <c r="H152" s="3">
        <v>72.552666733333325</v>
      </c>
      <c r="I152" s="3">
        <v>72.255332066666668</v>
      </c>
      <c r="J152">
        <v>72.613806890520138</v>
      </c>
      <c r="K152" s="5">
        <v>72.787634085586006</v>
      </c>
      <c r="L152" s="5">
        <v>-0.17382719506586852</v>
      </c>
      <c r="M152" s="5">
        <v>4.4240479152853774E-3</v>
      </c>
      <c r="N152" s="8">
        <v>71.998000649999994</v>
      </c>
      <c r="O152" s="8">
        <v>75.115622422815278</v>
      </c>
      <c r="P152" s="8">
        <v>68.880378877184711</v>
      </c>
    </row>
    <row r="153" spans="1:20" x14ac:dyDescent="0.2">
      <c r="A153" s="7">
        <v>44837</v>
      </c>
      <c r="B153" s="4">
        <v>70.949996999999996</v>
      </c>
      <c r="C153" s="4">
        <v>72</v>
      </c>
      <c r="D153" s="4">
        <v>70.209998999999996</v>
      </c>
      <c r="E153" s="4">
        <v>71.730002999999996</v>
      </c>
      <c r="F153" s="6">
        <v>72.45</v>
      </c>
      <c r="G153" s="6">
        <v>72.603999650000006</v>
      </c>
      <c r="H153" s="3">
        <v>72.869333400000002</v>
      </c>
      <c r="I153" s="3">
        <v>72.030666600000004</v>
      </c>
      <c r="J153">
        <v>72.477837061209357</v>
      </c>
      <c r="K153" s="5">
        <v>72.548339935666803</v>
      </c>
      <c r="L153" s="5">
        <v>-7.0502874457446296E-2</v>
      </c>
      <c r="M153" s="5">
        <v>-7.2473769934917852E-3</v>
      </c>
      <c r="N153" s="8">
        <v>72.281000799999987</v>
      </c>
      <c r="O153" s="8">
        <v>75.91420381743626</v>
      </c>
      <c r="P153" s="8">
        <v>68.647797782563714</v>
      </c>
    </row>
    <row r="154" spans="1:20" x14ac:dyDescent="0.2">
      <c r="A154" s="7">
        <v>44838</v>
      </c>
      <c r="B154" s="4">
        <v>72.319999999999993</v>
      </c>
      <c r="C154" s="4">
        <v>72.319999999999993</v>
      </c>
      <c r="D154" s="4">
        <v>70.239998</v>
      </c>
      <c r="E154" s="4">
        <v>71.680000000000007</v>
      </c>
      <c r="F154" s="6">
        <v>72.083999599999999</v>
      </c>
      <c r="G154" s="6">
        <v>72.663999500000003</v>
      </c>
      <c r="H154" s="3">
        <v>72.393999266666668</v>
      </c>
      <c r="I154" s="3">
        <v>71.773999933333329</v>
      </c>
      <c r="J154">
        <v>72.355092897946378</v>
      </c>
      <c r="K154" s="5">
        <v>72.418738019638283</v>
      </c>
      <c r="L154" s="5">
        <v>-6.3645121691905615E-2</v>
      </c>
      <c r="M154" s="5">
        <v>-2.3061768503830474E-2</v>
      </c>
      <c r="N154" s="8">
        <v>72.535000549999978</v>
      </c>
      <c r="O154" s="8">
        <v>76.680224292042453</v>
      </c>
      <c r="P154" s="8">
        <v>68.389776807957503</v>
      </c>
    </row>
    <row r="155" spans="1:20" x14ac:dyDescent="0.2">
      <c r="A155" s="7">
        <v>44839</v>
      </c>
      <c r="B155" s="4">
        <v>71.389999000000003</v>
      </c>
      <c r="C155" s="4">
        <v>72.349997999999999</v>
      </c>
      <c r="D155" s="4">
        <v>70.319999999999993</v>
      </c>
      <c r="E155" s="4">
        <v>72.260002</v>
      </c>
      <c r="F155" s="6">
        <v>71.835999999999999</v>
      </c>
      <c r="G155" s="6">
        <v>72.732999750000005</v>
      </c>
      <c r="H155" s="3">
        <v>71.839332599999992</v>
      </c>
      <c r="I155" s="3">
        <v>71.832667399999991</v>
      </c>
      <c r="J155">
        <v>72.340463529031553</v>
      </c>
      <c r="K155" s="5">
        <v>72.348049127728132</v>
      </c>
      <c r="L155" s="5">
        <v>-7.5855986965791544E-3</v>
      </c>
      <c r="M155" s="5">
        <v>-4.5395394495326653E-2</v>
      </c>
      <c r="N155" s="8">
        <v>73.046000649999996</v>
      </c>
      <c r="O155" s="8">
        <v>78.910586309776491</v>
      </c>
      <c r="P155" s="8">
        <v>67.181414990223502</v>
      </c>
    </row>
    <row r="156" spans="1:20" x14ac:dyDescent="0.2">
      <c r="A156" s="7">
        <v>44840</v>
      </c>
      <c r="B156" s="4">
        <v>72.160004000000001</v>
      </c>
      <c r="C156" s="4">
        <v>72.660004000000001</v>
      </c>
      <c r="D156" s="4">
        <v>70.610000999999997</v>
      </c>
      <c r="E156" s="4">
        <v>71.040001000000004</v>
      </c>
      <c r="F156" s="6">
        <v>71.496000600000002</v>
      </c>
      <c r="G156" s="6">
        <v>72.687999700000006</v>
      </c>
      <c r="H156" s="3">
        <v>71.424666799999997</v>
      </c>
      <c r="I156" s="3">
        <v>71.567334399999993</v>
      </c>
      <c r="J156">
        <v>72.140392370719013</v>
      </c>
      <c r="K156" s="5">
        <v>72.244132971325513</v>
      </c>
      <c r="L156" s="5">
        <v>-0.10374060060649981</v>
      </c>
      <c r="M156" s="5">
        <v>-5.0377281888573738E-2</v>
      </c>
      <c r="N156" s="8">
        <v>73.41150055</v>
      </c>
      <c r="O156" s="8">
        <v>79.943066875679506</v>
      </c>
      <c r="P156" s="8">
        <v>66.879934224320493</v>
      </c>
    </row>
    <row r="157" spans="1:20" x14ac:dyDescent="0.2">
      <c r="A157" s="7">
        <v>44841</v>
      </c>
      <c r="B157" s="4">
        <v>70.889999000000003</v>
      </c>
      <c r="C157" s="4">
        <v>73.989998</v>
      </c>
      <c r="D157" s="4">
        <v>70.739998</v>
      </c>
      <c r="E157" s="4">
        <v>72.889999000000003</v>
      </c>
      <c r="F157" s="6">
        <v>71.920000999999999</v>
      </c>
      <c r="G157" s="6">
        <v>72.726499500000017</v>
      </c>
      <c r="H157" s="3">
        <v>71.808001466666667</v>
      </c>
      <c r="I157" s="3">
        <v>72.032000533333331</v>
      </c>
      <c r="J157">
        <v>72.255716467531471</v>
      </c>
      <c r="K157" s="5">
        <v>72.195918787702794</v>
      </c>
      <c r="L157" s="5">
        <v>5.9797679828676564E-2</v>
      </c>
      <c r="M157" s="5">
        <v>-3.0306585149781365E-2</v>
      </c>
      <c r="N157" s="8">
        <v>73.913000499999995</v>
      </c>
      <c r="O157" s="8">
        <v>81.177043355485466</v>
      </c>
      <c r="P157" s="8">
        <v>66.648957644514525</v>
      </c>
    </row>
    <row r="158" spans="1:20" x14ac:dyDescent="0.2">
      <c r="A158" s="7">
        <v>44844</v>
      </c>
      <c r="B158" s="4">
        <v>72.5</v>
      </c>
      <c r="C158" s="4">
        <v>73.650002000000001</v>
      </c>
      <c r="D158" s="4">
        <v>70.25</v>
      </c>
      <c r="E158" s="4">
        <v>70.410004000000001</v>
      </c>
      <c r="F158" s="6">
        <v>71.656001200000006</v>
      </c>
      <c r="G158" s="6">
        <v>72.595499750000016</v>
      </c>
      <c r="H158" s="3">
        <v>71.783334199999999</v>
      </c>
      <c r="I158" s="3">
        <v>71.528668199999998</v>
      </c>
      <c r="J158">
        <v>71.971760703295857</v>
      </c>
      <c r="K158" s="5">
        <v>72.118997025492092</v>
      </c>
      <c r="L158" s="5">
        <v>-0.14723632219623539</v>
      </c>
      <c r="M158" s="5">
        <v>-5.3121065560419983E-2</v>
      </c>
      <c r="N158" s="8">
        <v>74.281500650000012</v>
      </c>
      <c r="O158" s="8">
        <v>82.056792990296046</v>
      </c>
      <c r="P158" s="8">
        <v>66.506208309703979</v>
      </c>
    </row>
    <row r="159" spans="1:20" x14ac:dyDescent="0.2">
      <c r="A159" s="7">
        <v>44845</v>
      </c>
      <c r="B159" s="4">
        <v>70.419998000000007</v>
      </c>
      <c r="C159" s="4">
        <v>73.959998999999996</v>
      </c>
      <c r="D159" s="4">
        <v>70.120002999999997</v>
      </c>
      <c r="E159" s="4">
        <v>72</v>
      </c>
      <c r="F159" s="6">
        <v>71.720001199999999</v>
      </c>
      <c r="G159" s="6">
        <v>72.510499899999999</v>
      </c>
      <c r="H159" s="3">
        <v>71.796667933333325</v>
      </c>
      <c r="I159" s="3">
        <v>71.643334466666658</v>
      </c>
      <c r="J159">
        <v>71.976105210481109</v>
      </c>
      <c r="K159" s="5">
        <v>71.973852503051717</v>
      </c>
      <c r="L159" s="5">
        <v>2.2527074293918758E-3</v>
      </c>
      <c r="M159" s="5">
        <v>-5.8243940564418985E-2</v>
      </c>
      <c r="N159" s="8">
        <v>74.839000350000006</v>
      </c>
      <c r="O159" s="8">
        <v>83.033144359038062</v>
      </c>
      <c r="P159" s="8">
        <v>66.644856340961951</v>
      </c>
    </row>
    <row r="160" spans="1:20" x14ac:dyDescent="0.2">
      <c r="A160" s="7">
        <v>44846</v>
      </c>
      <c r="B160" s="4">
        <v>72.169998000000007</v>
      </c>
      <c r="C160" s="4">
        <v>73.489998</v>
      </c>
      <c r="D160" s="4">
        <v>70.680000000000007</v>
      </c>
      <c r="E160" s="4">
        <v>71.190002000000007</v>
      </c>
      <c r="F160" s="6">
        <v>71.5060012</v>
      </c>
      <c r="G160" s="6">
        <v>72.418500050000006</v>
      </c>
      <c r="H160" s="3">
        <v>71.545334333333344</v>
      </c>
      <c r="I160" s="3">
        <v>71.466668066666671</v>
      </c>
      <c r="J160">
        <v>71.855166255022482</v>
      </c>
      <c r="K160" s="5">
        <v>71.917875343038062</v>
      </c>
      <c r="L160" s="5">
        <v>-6.2709088015580505E-2</v>
      </c>
      <c r="M160" s="5">
        <v>-6.3021823719116313E-2</v>
      </c>
      <c r="N160" s="8">
        <v>75.317500350000003</v>
      </c>
      <c r="O160" s="8">
        <v>83.921063497967523</v>
      </c>
      <c r="P160" s="8">
        <v>66.713937202032483</v>
      </c>
    </row>
    <row r="161" spans="1:16" x14ac:dyDescent="0.2">
      <c r="A161" s="7">
        <v>44847</v>
      </c>
      <c r="B161" s="4">
        <v>70.610000999999997</v>
      </c>
      <c r="C161" s="4">
        <v>71.970000999999996</v>
      </c>
      <c r="D161" s="4">
        <v>70</v>
      </c>
      <c r="E161" s="4">
        <v>70.669998000000007</v>
      </c>
      <c r="F161" s="6">
        <v>71.432000600000009</v>
      </c>
      <c r="G161" s="6">
        <v>72.319499850000014</v>
      </c>
      <c r="H161" s="3">
        <v>71.676000866666669</v>
      </c>
      <c r="I161" s="3">
        <v>71.188000333333335</v>
      </c>
      <c r="J161">
        <v>71.67283267732671</v>
      </c>
      <c r="K161" s="5">
        <v>71.767376013909711</v>
      </c>
      <c r="L161" s="5">
        <v>-9.4543336583001292E-2</v>
      </c>
      <c r="M161" s="5">
        <v>-5.4212506109908846E-2</v>
      </c>
      <c r="N161" s="8">
        <v>75.902000099999995</v>
      </c>
      <c r="O161" s="8">
        <v>84.904028915679802</v>
      </c>
      <c r="P161" s="8">
        <v>66.899971284320188</v>
      </c>
    </row>
    <row r="162" spans="1:16" x14ac:dyDescent="0.2">
      <c r="A162" s="7">
        <v>44848</v>
      </c>
      <c r="B162" s="4">
        <v>70.800003000000004</v>
      </c>
      <c r="C162" s="4">
        <v>72.050003000000004</v>
      </c>
      <c r="D162" s="4">
        <v>68.830001999999993</v>
      </c>
      <c r="E162" s="4">
        <v>70.059997999999993</v>
      </c>
      <c r="F162" s="6">
        <v>70.866000400000004</v>
      </c>
      <c r="G162" s="6">
        <v>72.149999900000012</v>
      </c>
      <c r="H162" s="3">
        <v>71.001334666666665</v>
      </c>
      <c r="I162" s="3">
        <v>70.73066613333333</v>
      </c>
      <c r="J162">
        <v>71.424704265430293</v>
      </c>
      <c r="K162" s="5">
        <v>71.553363441969168</v>
      </c>
      <c r="L162" s="5">
        <v>-0.12865917653887493</v>
      </c>
      <c r="M162" s="5">
        <v>-6.0674317452289808E-2</v>
      </c>
      <c r="N162" s="8">
        <v>76.5430001</v>
      </c>
      <c r="O162" s="8">
        <v>85.798550121451598</v>
      </c>
      <c r="P162" s="8">
        <v>67.287450078548403</v>
      </c>
    </row>
    <row r="163" spans="1:16" x14ac:dyDescent="0.2">
      <c r="A163" s="7">
        <v>44851</v>
      </c>
      <c r="B163" s="4">
        <v>70.410004000000001</v>
      </c>
      <c r="C163" s="4">
        <v>74.5</v>
      </c>
      <c r="D163" s="4">
        <v>70.410004000000001</v>
      </c>
      <c r="E163" s="4">
        <v>73</v>
      </c>
      <c r="F163" s="6">
        <v>71.38399960000001</v>
      </c>
      <c r="G163" s="6">
        <v>72.153999999999996</v>
      </c>
      <c r="H163" s="3">
        <v>71.325999866666663</v>
      </c>
      <c r="I163" s="3">
        <v>71.441999333333328</v>
      </c>
      <c r="J163">
        <v>71.667057455364088</v>
      </c>
      <c r="K163" s="5">
        <v>71.541392838361375</v>
      </c>
      <c r="L163" s="5">
        <v>0.12566461700271248</v>
      </c>
      <c r="M163" s="5">
        <v>-3.9639902041776684E-2</v>
      </c>
      <c r="N163" s="8">
        <v>77.326500349999989</v>
      </c>
      <c r="O163" s="8">
        <v>86.918207104099906</v>
      </c>
      <c r="P163" s="8">
        <v>67.734793595900072</v>
      </c>
    </row>
    <row r="164" spans="1:16" x14ac:dyDescent="0.2">
      <c r="A164" s="7">
        <v>44852</v>
      </c>
      <c r="B164" s="4">
        <v>73.540001000000004</v>
      </c>
      <c r="C164" s="4">
        <v>73.980002999999996</v>
      </c>
      <c r="D164" s="4">
        <v>71.309997999999993</v>
      </c>
      <c r="E164" s="4">
        <v>71.930000000000007</v>
      </c>
      <c r="F164" s="6">
        <v>71.3699996</v>
      </c>
      <c r="G164" s="6">
        <v>72.101999950000007</v>
      </c>
      <c r="H164" s="3">
        <v>71.115999733333339</v>
      </c>
      <c r="I164" s="3">
        <v>71.623999466666675</v>
      </c>
      <c r="J164">
        <v>71.707510154538852</v>
      </c>
      <c r="K164" s="5">
        <v>71.686534680892677</v>
      </c>
      <c r="L164" s="5">
        <v>2.0975473646174692E-2</v>
      </c>
      <c r="M164" s="5">
        <v>-3.6466449559248479E-2</v>
      </c>
      <c r="N164" s="8">
        <v>77.955000349999992</v>
      </c>
      <c r="O164" s="8">
        <v>87.990101050935138</v>
      </c>
      <c r="P164" s="8">
        <v>67.919899649064845</v>
      </c>
    </row>
    <row r="165" spans="1:16" x14ac:dyDescent="0.2">
      <c r="A165" s="7">
        <v>44853</v>
      </c>
      <c r="B165" s="4">
        <v>71.620002999999997</v>
      </c>
      <c r="C165" s="4">
        <v>72.169998000000007</v>
      </c>
      <c r="D165" s="4">
        <v>70</v>
      </c>
      <c r="E165" s="4">
        <v>70.040001000000004</v>
      </c>
      <c r="F165" s="6">
        <v>71.139999399999994</v>
      </c>
      <c r="G165" s="6">
        <v>71.924500199999997</v>
      </c>
      <c r="H165" s="3">
        <v>71.099332200000006</v>
      </c>
      <c r="I165" s="3">
        <v>71.180666599999995</v>
      </c>
      <c r="J165">
        <v>71.450970284609795</v>
      </c>
      <c r="K165" s="5">
        <v>71.583990957906352</v>
      </c>
      <c r="L165" s="5">
        <v>-0.13302067329655642</v>
      </c>
      <c r="M165" s="5">
        <v>-3.9719790969254772E-2</v>
      </c>
      <c r="N165" s="8">
        <v>78.654000549999992</v>
      </c>
      <c r="O165" s="8">
        <v>88.86802441950185</v>
      </c>
      <c r="P165" s="8">
        <v>68.439976680498134</v>
      </c>
    </row>
    <row r="166" spans="1:16" x14ac:dyDescent="0.2">
      <c r="A166" s="7">
        <v>44854</v>
      </c>
      <c r="B166" s="4">
        <v>70.510002</v>
      </c>
      <c r="C166" s="4">
        <v>72.800003000000004</v>
      </c>
      <c r="D166" s="4">
        <v>69.529999000000004</v>
      </c>
      <c r="E166" s="4">
        <v>70.5</v>
      </c>
      <c r="F166" s="6">
        <v>71.105999800000006</v>
      </c>
      <c r="G166" s="6">
        <v>71.690500200000002</v>
      </c>
      <c r="H166" s="3">
        <v>71.24466613333334</v>
      </c>
      <c r="I166" s="3">
        <v>70.967333466666673</v>
      </c>
      <c r="J166">
        <v>71.304667163900604</v>
      </c>
      <c r="K166" s="5">
        <v>71.380528041305368</v>
      </c>
      <c r="L166" s="5">
        <v>-7.5860877404764437E-2</v>
      </c>
      <c r="M166" s="5">
        <v>-5.4792963995192658E-2</v>
      </c>
      <c r="N166" s="8">
        <v>79.421000349999986</v>
      </c>
      <c r="O166" s="8">
        <v>89.206296658517843</v>
      </c>
      <c r="P166" s="8">
        <v>69.635704041482128</v>
      </c>
    </row>
    <row r="167" spans="1:16" x14ac:dyDescent="0.2">
      <c r="A167" s="7">
        <v>44855</v>
      </c>
      <c r="B167" s="4">
        <v>70.720000999999996</v>
      </c>
      <c r="C167" s="4">
        <v>72.449996999999996</v>
      </c>
      <c r="D167" s="4">
        <v>69.440002000000007</v>
      </c>
      <c r="E167" s="4">
        <v>71.800003000000004</v>
      </c>
      <c r="F167" s="6">
        <v>71.454000800000003</v>
      </c>
      <c r="G167" s="6">
        <v>71.661000400000006</v>
      </c>
      <c r="H167" s="3">
        <v>71.709333733333338</v>
      </c>
      <c r="I167" s="3">
        <v>71.198667866666668</v>
      </c>
      <c r="J167">
        <v>71.38087267714667</v>
      </c>
      <c r="K167" s="5">
        <v>71.341358707315379</v>
      </c>
      <c r="L167" s="5">
        <v>3.9513969831290296E-2</v>
      </c>
      <c r="M167" s="5">
        <v>-3.4042931547689809E-2</v>
      </c>
      <c r="N167" s="8">
        <v>80.27100034999998</v>
      </c>
      <c r="O167" s="8">
        <v>89.741820926531958</v>
      </c>
      <c r="P167" s="8">
        <v>70.800179773468003</v>
      </c>
    </row>
    <row r="168" spans="1:16" x14ac:dyDescent="0.2">
      <c r="A168" s="7">
        <v>44858</v>
      </c>
      <c r="B168" s="4">
        <v>72.150002000000001</v>
      </c>
      <c r="C168" s="4">
        <v>73.779999000000004</v>
      </c>
      <c r="D168" s="4">
        <v>71.760002</v>
      </c>
      <c r="E168" s="4">
        <v>73.370002999999997</v>
      </c>
      <c r="F168" s="6">
        <v>71.528001400000008</v>
      </c>
      <c r="G168" s="6">
        <v>71.754500550000003</v>
      </c>
      <c r="H168" s="3">
        <v>71.218667533333345</v>
      </c>
      <c r="I168" s="3">
        <v>71.83733526666667</v>
      </c>
      <c r="J168">
        <v>71.68689272681641</v>
      </c>
      <c r="K168" s="5">
        <v>71.5282156640247</v>
      </c>
      <c r="L168" s="5">
        <v>0.15867706279171045</v>
      </c>
      <c r="M168" s="5">
        <v>-1.6662447618543297E-2</v>
      </c>
      <c r="N168" s="8">
        <v>80.960000299999976</v>
      </c>
      <c r="O168" s="8">
        <v>89.82140550114984</v>
      </c>
      <c r="P168" s="8">
        <v>72.098595098850112</v>
      </c>
    </row>
    <row r="169" spans="1:16" x14ac:dyDescent="0.2">
      <c r="A169" s="7">
        <v>44859</v>
      </c>
      <c r="B169" s="4">
        <v>72.309997999999993</v>
      </c>
      <c r="C169" s="4">
        <v>75.379997000000003</v>
      </c>
      <c r="D169" s="4">
        <v>72</v>
      </c>
      <c r="E169" s="4">
        <v>75.220000999999996</v>
      </c>
      <c r="F169" s="6">
        <v>72.186001600000012</v>
      </c>
      <c r="G169" s="6">
        <v>71.840000500000002</v>
      </c>
      <c r="H169" s="3">
        <v>71.30400139999999</v>
      </c>
      <c r="I169" s="3">
        <v>73.06800179999999</v>
      </c>
      <c r="J169">
        <v>72.230447845767728</v>
      </c>
      <c r="K169" s="5">
        <v>71.948604450755937</v>
      </c>
      <c r="L169" s="5">
        <v>0.28184339501179068</v>
      </c>
      <c r="M169" s="5">
        <v>2.1621161606720167E-2</v>
      </c>
      <c r="N169" s="8">
        <v>81.641000049999974</v>
      </c>
      <c r="O169" s="8">
        <v>90.132097371908557</v>
      </c>
      <c r="P169" s="8">
        <v>73.149902728091391</v>
      </c>
    </row>
    <row r="170" spans="1:16" x14ac:dyDescent="0.2">
      <c r="A170" s="7">
        <v>44860</v>
      </c>
      <c r="B170" s="4">
        <v>75.160004000000001</v>
      </c>
      <c r="C170" s="4">
        <v>75.309997999999993</v>
      </c>
      <c r="D170" s="4">
        <v>73.610000999999997</v>
      </c>
      <c r="E170" s="4">
        <v>74.599997999999999</v>
      </c>
      <c r="F170" s="6">
        <v>73.098000999999996</v>
      </c>
      <c r="G170" s="6">
        <v>71.895000399999986</v>
      </c>
      <c r="H170" s="3">
        <v>72.32333473333334</v>
      </c>
      <c r="I170" s="3">
        <v>73.872667266666667</v>
      </c>
      <c r="J170">
        <v>72.594994023341926</v>
      </c>
      <c r="K170" s="5">
        <v>72.405970079414558</v>
      </c>
      <c r="L170" s="5">
        <v>0.1890239439273671</v>
      </c>
      <c r="M170" s="5">
        <v>5.3128637218983324E-2</v>
      </c>
      <c r="N170" s="8">
        <v>82.250000099999994</v>
      </c>
      <c r="O170" s="8">
        <v>90.546965159080173</v>
      </c>
      <c r="P170" s="8">
        <v>73.953035040919815</v>
      </c>
    </row>
    <row r="171" spans="1:16" x14ac:dyDescent="0.2">
      <c r="A171" s="7">
        <v>44861</v>
      </c>
      <c r="B171" s="4">
        <v>74.5</v>
      </c>
      <c r="C171" s="4">
        <v>75.5</v>
      </c>
      <c r="D171" s="4">
        <v>74.300003000000004</v>
      </c>
      <c r="E171" s="4">
        <v>74.800003000000004</v>
      </c>
      <c r="F171" s="6">
        <v>73.958001600000003</v>
      </c>
      <c r="G171" s="6">
        <v>71.998000649999994</v>
      </c>
      <c r="H171" s="3">
        <v>73.476001933333336</v>
      </c>
      <c r="I171" s="3">
        <v>74.44000126666667</v>
      </c>
      <c r="J171">
        <v>72.934226173597011</v>
      </c>
      <c r="K171" s="5">
        <v>72.758328021612883</v>
      </c>
      <c r="L171" s="5">
        <v>0.1758981519841285</v>
      </c>
      <c r="M171" s="5">
        <v>8.6968340388205931E-2</v>
      </c>
      <c r="N171" s="8">
        <v>82.844500100000005</v>
      </c>
      <c r="O171" s="8">
        <v>90.513641048558753</v>
      </c>
      <c r="P171" s="8">
        <v>75.175359151441256</v>
      </c>
    </row>
    <row r="172" spans="1:16" x14ac:dyDescent="0.2">
      <c r="A172" s="7">
        <v>44862</v>
      </c>
      <c r="B172" s="4">
        <v>75.550003000000004</v>
      </c>
      <c r="C172" s="4">
        <v>76.760002</v>
      </c>
      <c r="D172" s="4">
        <v>74.550003000000004</v>
      </c>
      <c r="E172" s="4">
        <v>76.430000000000007</v>
      </c>
      <c r="F172" s="6">
        <v>74.884000999999998</v>
      </c>
      <c r="G172" s="6">
        <v>72.281000799999987</v>
      </c>
      <c r="H172" s="3">
        <v>74.504001266666663</v>
      </c>
      <c r="I172" s="3">
        <v>75.264000733333333</v>
      </c>
      <c r="J172">
        <v>73.472037531505165</v>
      </c>
      <c r="K172" s="5">
        <v>73.193172382960199</v>
      </c>
      <c r="L172" s="5">
        <v>0.27886514854496625</v>
      </c>
      <c r="M172" s="5">
        <v>0.10399062167067857</v>
      </c>
      <c r="N172" s="8">
        <v>83.289999900000012</v>
      </c>
      <c r="O172" s="8">
        <v>89.961864423427045</v>
      </c>
      <c r="P172" s="8">
        <v>76.61813537657298</v>
      </c>
    </row>
    <row r="173" spans="1:16" x14ac:dyDescent="0.2">
      <c r="A173" s="7">
        <v>44865</v>
      </c>
      <c r="B173" s="4">
        <v>76.300003000000004</v>
      </c>
      <c r="C173" s="4">
        <v>79.5</v>
      </c>
      <c r="D173" s="4">
        <v>75.260002</v>
      </c>
      <c r="E173" s="4">
        <v>76.809997999999993</v>
      </c>
      <c r="F173" s="6">
        <v>75.572000000000003</v>
      </c>
      <c r="G173" s="6">
        <v>72.535000549999978</v>
      </c>
      <c r="H173" s="3">
        <v>75.238000266666674</v>
      </c>
      <c r="I173" s="3">
        <v>75.905999733333331</v>
      </c>
      <c r="J173">
        <v>73.9855699112736</v>
      </c>
      <c r="K173" s="5">
        <v>73.71929386250477</v>
      </c>
      <c r="L173" s="5">
        <v>0.26627604876883026</v>
      </c>
      <c r="M173" s="5">
        <v>0.13124624112875141</v>
      </c>
      <c r="N173" s="8">
        <v>83.568499899999992</v>
      </c>
      <c r="O173" s="8">
        <v>89.453247234451368</v>
      </c>
      <c r="P173" s="8">
        <v>77.683752565548616</v>
      </c>
    </row>
    <row r="174" spans="1:16" x14ac:dyDescent="0.2">
      <c r="A174" s="7">
        <v>44866</v>
      </c>
      <c r="B174" s="4">
        <v>76.809997999999993</v>
      </c>
      <c r="C174" s="4">
        <v>82.059997999999993</v>
      </c>
      <c r="D174" s="4">
        <v>76.569999999999993</v>
      </c>
      <c r="E174" s="4">
        <v>81.900002000000001</v>
      </c>
      <c r="F174" s="6">
        <v>76.908000199999989</v>
      </c>
      <c r="G174" s="6">
        <v>73.046000649999996</v>
      </c>
      <c r="H174" s="3">
        <v>75.800666666666672</v>
      </c>
      <c r="I174" s="3">
        <v>78.015333733333335</v>
      </c>
      <c r="J174">
        <v>75.203174848000742</v>
      </c>
      <c r="K174" s="5">
        <v>74.571824140068145</v>
      </c>
      <c r="L174" s="5">
        <v>0.63135070793259729</v>
      </c>
      <c r="M174" s="5">
        <v>0.21617639459865737</v>
      </c>
      <c r="N174" s="8">
        <v>83.821500150000006</v>
      </c>
      <c r="O174" s="8">
        <v>88.856557342192502</v>
      </c>
      <c r="P174" s="8">
        <v>78.786442957807509</v>
      </c>
    </row>
    <row r="175" spans="1:16" x14ac:dyDescent="0.2">
      <c r="A175" s="7">
        <v>44868</v>
      </c>
      <c r="B175" s="4">
        <v>81.010002</v>
      </c>
      <c r="C175" s="4">
        <v>81.839995999999999</v>
      </c>
      <c r="D175" s="4">
        <v>79.230002999999996</v>
      </c>
      <c r="E175" s="4">
        <v>79.569999999999993</v>
      </c>
      <c r="F175" s="6">
        <v>77.902000600000008</v>
      </c>
      <c r="G175" s="6">
        <v>73.41150055</v>
      </c>
      <c r="H175" s="3">
        <v>76.901334199999994</v>
      </c>
      <c r="I175" s="3">
        <v>78.902666999999994</v>
      </c>
      <c r="J175">
        <v>75.874994102154474</v>
      </c>
      <c r="K175" s="5">
        <v>75.526643377778456</v>
      </c>
      <c r="L175" s="5">
        <v>0.34835072437601866</v>
      </c>
      <c r="M175" s="5">
        <v>0.26331101701874438</v>
      </c>
      <c r="N175" s="8">
        <v>83.83900005000001</v>
      </c>
      <c r="O175" s="8">
        <v>88.848304803988611</v>
      </c>
      <c r="P175" s="8">
        <v>78.829695296011408</v>
      </c>
    </row>
    <row r="176" spans="1:16" x14ac:dyDescent="0.2">
      <c r="A176" s="7">
        <v>44869</v>
      </c>
      <c r="B176" s="4">
        <v>80.839995999999999</v>
      </c>
      <c r="C176" s="4">
        <v>82.330001999999993</v>
      </c>
      <c r="D176" s="4">
        <v>79.309997999999993</v>
      </c>
      <c r="E176" s="4">
        <v>81.069999999999993</v>
      </c>
      <c r="F176" s="6">
        <v>79.156000000000006</v>
      </c>
      <c r="G176" s="6">
        <v>73.913000499999995</v>
      </c>
      <c r="H176" s="3">
        <v>78.353333199999994</v>
      </c>
      <c r="I176" s="3">
        <v>79.958666799999989</v>
      </c>
      <c r="J176">
        <v>76.674225778746091</v>
      </c>
      <c r="K176" s="5">
        <v>76.259809353846734</v>
      </c>
      <c r="L176" s="5">
        <v>0.41441642489935759</v>
      </c>
      <c r="M176" s="5">
        <v>0.30496684535964075</v>
      </c>
      <c r="N176" s="8">
        <v>84.014999849999995</v>
      </c>
      <c r="O176" s="8">
        <v>88.624132982564575</v>
      </c>
      <c r="P176" s="8">
        <v>79.405866717435416</v>
      </c>
    </row>
    <row r="177" spans="1:16" x14ac:dyDescent="0.2">
      <c r="A177" s="7">
        <v>44872</v>
      </c>
      <c r="B177" s="4">
        <v>81.209998999999996</v>
      </c>
      <c r="C177" s="4">
        <v>82.93</v>
      </c>
      <c r="D177" s="4">
        <v>79.779999000000004</v>
      </c>
      <c r="E177" s="4">
        <v>80.260002</v>
      </c>
      <c r="F177" s="6">
        <v>79.922000399999988</v>
      </c>
      <c r="G177" s="6">
        <v>74.281500650000012</v>
      </c>
      <c r="H177" s="3">
        <v>79.517333333333326</v>
      </c>
      <c r="I177" s="3">
        <v>80.326667466666663</v>
      </c>
      <c r="J177">
        <v>77.225883658938997</v>
      </c>
      <c r="K177" s="5">
        <v>76.939838832172299</v>
      </c>
      <c r="L177" s="5">
        <v>0.28604482676669818</v>
      </c>
      <c r="M177" s="5">
        <v>0.31911881913463941</v>
      </c>
      <c r="N177" s="8">
        <v>84.140499949999992</v>
      </c>
      <c r="O177" s="8">
        <v>88.544103919504039</v>
      </c>
      <c r="P177" s="8">
        <v>79.736895980495945</v>
      </c>
    </row>
    <row r="178" spans="1:16" x14ac:dyDescent="0.2">
      <c r="A178" s="7">
        <v>44873</v>
      </c>
      <c r="B178" s="4">
        <v>80.819999999999993</v>
      </c>
      <c r="C178" s="4">
        <v>83.169998000000007</v>
      </c>
      <c r="D178" s="4">
        <v>80.269997000000004</v>
      </c>
      <c r="E178" s="4">
        <v>81.559997999999993</v>
      </c>
      <c r="F178" s="6">
        <v>80.872000400000005</v>
      </c>
      <c r="G178" s="6">
        <v>74.839000350000006</v>
      </c>
      <c r="H178" s="3">
        <v>80.87133413333332</v>
      </c>
      <c r="I178" s="3">
        <v>80.872666666666646</v>
      </c>
      <c r="J178">
        <v>77.892670480640689</v>
      </c>
      <c r="K178" s="5">
        <v>77.546929165684261</v>
      </c>
      <c r="L178" s="5">
        <v>0.34574131495642746</v>
      </c>
      <c r="M178" s="5">
        <v>0.3262185880173768</v>
      </c>
      <c r="N178" s="8">
        <v>84.22999999999999</v>
      </c>
      <c r="O178" s="8">
        <v>88.366166941558731</v>
      </c>
      <c r="P178" s="8">
        <v>80.093833058441248</v>
      </c>
    </row>
    <row r="179" spans="1:16" x14ac:dyDescent="0.2">
      <c r="A179" s="7">
        <v>44874</v>
      </c>
      <c r="B179" s="4">
        <v>81.559997999999993</v>
      </c>
      <c r="C179" s="4">
        <v>82.68</v>
      </c>
      <c r="D179" s="4">
        <v>80.589995999999999</v>
      </c>
      <c r="E179" s="4">
        <v>81.569999999999993</v>
      </c>
      <c r="F179" s="6">
        <v>80.805999999999997</v>
      </c>
      <c r="G179" s="6">
        <v>75.317500350000003</v>
      </c>
      <c r="H179" s="3">
        <v>80.506666799999991</v>
      </c>
      <c r="I179" s="3">
        <v>81.10533319999999</v>
      </c>
      <c r="J179">
        <v>78.458413483619054</v>
      </c>
      <c r="K179" s="5">
        <v>78.165065259852483</v>
      </c>
      <c r="L179" s="5">
        <v>0.29334822376657144</v>
      </c>
      <c r="M179" s="5">
        <v>0.3378101746661773</v>
      </c>
      <c r="N179" s="8">
        <v>84.320500249999995</v>
      </c>
      <c r="O179" s="8">
        <v>88.286388850370585</v>
      </c>
      <c r="P179" s="8">
        <v>80.354611649629405</v>
      </c>
    </row>
    <row r="180" spans="1:16" x14ac:dyDescent="0.2">
      <c r="A180" s="7">
        <v>44875</v>
      </c>
      <c r="B180" s="4">
        <v>82.449996999999996</v>
      </c>
      <c r="C180" s="4">
        <v>84.209998999999996</v>
      </c>
      <c r="D180" s="4">
        <v>82</v>
      </c>
      <c r="E180" s="4">
        <v>82.879997000000003</v>
      </c>
      <c r="F180" s="6">
        <v>81.467999399999997</v>
      </c>
      <c r="G180" s="6">
        <v>75.902000099999995</v>
      </c>
      <c r="H180" s="3">
        <v>81.139333266666668</v>
      </c>
      <c r="I180" s="3">
        <v>81.796665533333325</v>
      </c>
      <c r="J180">
        <v>79.138657101523819</v>
      </c>
      <c r="K180" s="5">
        <v>78.785938188536164</v>
      </c>
      <c r="L180" s="5">
        <v>0.35271891298765468</v>
      </c>
      <c r="M180" s="5">
        <v>0.3574569258887913</v>
      </c>
      <c r="N180" s="8">
        <v>84.525000450000007</v>
      </c>
      <c r="O180" s="8">
        <v>88.311455698024076</v>
      </c>
      <c r="P180" s="8">
        <v>80.738545201975938</v>
      </c>
    </row>
    <row r="181" spans="1:16" x14ac:dyDescent="0.2">
      <c r="A181" s="7">
        <v>44876</v>
      </c>
      <c r="B181" s="4">
        <v>82.980002999999996</v>
      </c>
      <c r="C181" s="4">
        <v>84.279999000000004</v>
      </c>
      <c r="D181" s="4">
        <v>82.019997000000004</v>
      </c>
      <c r="E181" s="4">
        <v>83.489998</v>
      </c>
      <c r="F181" s="6">
        <v>81.951999000000001</v>
      </c>
      <c r="G181" s="6">
        <v>76.5430001</v>
      </c>
      <c r="H181" s="3">
        <v>81.433332933333347</v>
      </c>
      <c r="I181" s="3">
        <v>82.470665066666669</v>
      </c>
      <c r="J181">
        <v>79.808094162827842</v>
      </c>
      <c r="K181" s="5">
        <v>79.460978649559081</v>
      </c>
      <c r="L181" s="5">
        <v>0.34711551326876133</v>
      </c>
      <c r="M181" s="5">
        <v>0.36504029974699076</v>
      </c>
      <c r="N181" s="8">
        <v>84.670500649999994</v>
      </c>
      <c r="O181" s="8">
        <v>88.414202442192504</v>
      </c>
      <c r="P181" s="8">
        <v>80.926798857807484</v>
      </c>
    </row>
    <row r="182" spans="1:16" x14ac:dyDescent="0.2">
      <c r="A182" s="7">
        <v>44879</v>
      </c>
      <c r="B182" s="4">
        <v>83.160004000000001</v>
      </c>
      <c r="C182" s="4">
        <v>86.93</v>
      </c>
      <c r="D182" s="4">
        <v>83.059997999999993</v>
      </c>
      <c r="E182" s="4">
        <v>85.730002999999996</v>
      </c>
      <c r="F182" s="6">
        <v>83.045999200000011</v>
      </c>
      <c r="G182" s="6">
        <v>77.326500349999989</v>
      </c>
      <c r="H182" s="3">
        <v>82.361998666666665</v>
      </c>
      <c r="I182" s="3">
        <v>83.729999733333329</v>
      </c>
      <c r="J182">
        <v>80.719157060854315</v>
      </c>
      <c r="K182" s="5">
        <v>80.246754076692454</v>
      </c>
      <c r="L182" s="5">
        <v>0.47240298416186022</v>
      </c>
      <c r="M182" s="5">
        <v>0.38794329256843851</v>
      </c>
      <c r="N182" s="8">
        <v>84.845000900000002</v>
      </c>
      <c r="O182" s="8">
        <v>88.681224306592199</v>
      </c>
      <c r="P182" s="8">
        <v>81.008777493407806</v>
      </c>
    </row>
    <row r="183" spans="1:16" x14ac:dyDescent="0.2">
      <c r="A183" s="7">
        <v>44880</v>
      </c>
      <c r="B183" s="4">
        <v>86.230002999999996</v>
      </c>
      <c r="C183" s="4">
        <v>88.050003000000004</v>
      </c>
      <c r="D183" s="4">
        <v>83.910004000000001</v>
      </c>
      <c r="E183" s="4">
        <v>85.57</v>
      </c>
      <c r="F183" s="6">
        <v>83.847999600000009</v>
      </c>
      <c r="G183" s="6">
        <v>77.955000349999992</v>
      </c>
      <c r="H183" s="3">
        <v>83.124665866666675</v>
      </c>
      <c r="I183" s="3">
        <v>84.571333333333328</v>
      </c>
      <c r="J183">
        <v>81.465440589953658</v>
      </c>
      <c r="K183" s="5">
        <v>81.078478760050288</v>
      </c>
      <c r="L183" s="5">
        <v>0.38696182990337036</v>
      </c>
      <c r="M183" s="5">
        <v>0.36078897278741334</v>
      </c>
      <c r="N183" s="8">
        <v>84.862500849999989</v>
      </c>
      <c r="O183" s="8">
        <v>88.718863238930638</v>
      </c>
      <c r="P183" s="8">
        <v>81.006138461069341</v>
      </c>
    </row>
    <row r="184" spans="1:16" x14ac:dyDescent="0.2">
      <c r="A184" s="7">
        <v>44881</v>
      </c>
      <c r="B184" s="4">
        <v>85.300003000000004</v>
      </c>
      <c r="C184" s="4">
        <v>86.529999000000004</v>
      </c>
      <c r="D184" s="4">
        <v>85.139999000000003</v>
      </c>
      <c r="E184" s="4">
        <v>85.910004000000001</v>
      </c>
      <c r="F184" s="6">
        <v>84.716000400000013</v>
      </c>
      <c r="G184" s="6">
        <v>78.654000549999992</v>
      </c>
      <c r="H184" s="3">
        <v>84.173332666666667</v>
      </c>
      <c r="I184" s="3">
        <v>85.258668133333344</v>
      </c>
      <c r="J184">
        <v>82.149219576114632</v>
      </c>
      <c r="K184" s="5">
        <v>81.794667509216353</v>
      </c>
      <c r="L184" s="5">
        <v>0.35455206689827889</v>
      </c>
      <c r="M184" s="5">
        <v>0.36147801084544223</v>
      </c>
      <c r="N184" s="8">
        <v>84.805000750000005</v>
      </c>
      <c r="O184" s="8">
        <v>88.651226518618046</v>
      </c>
      <c r="P184" s="8">
        <v>80.958774981381964</v>
      </c>
    </row>
    <row r="185" spans="1:16" x14ac:dyDescent="0.2">
      <c r="A185" s="7">
        <v>44882</v>
      </c>
      <c r="B185" s="4">
        <v>85.099997999999999</v>
      </c>
      <c r="C185" s="4">
        <v>86.709998999999996</v>
      </c>
      <c r="D185" s="4">
        <v>84.199996999999996</v>
      </c>
      <c r="E185" s="4">
        <v>85.379997000000003</v>
      </c>
      <c r="F185" s="6">
        <v>85.216000399999999</v>
      </c>
      <c r="G185" s="6">
        <v>79.421000349999986</v>
      </c>
      <c r="H185" s="3">
        <v>84.952000466666675</v>
      </c>
      <c r="I185" s="3">
        <v>85.480000333333336</v>
      </c>
      <c r="J185">
        <v>82.64626225671239</v>
      </c>
      <c r="K185" s="5">
        <v>82.388536422328372</v>
      </c>
      <c r="L185" s="5">
        <v>0.25772583438401853</v>
      </c>
      <c r="M185" s="5">
        <v>0.34406794523262679</v>
      </c>
      <c r="N185" s="8">
        <v>84.746842684210534</v>
      </c>
      <c r="O185" s="8">
        <v>88.662157432900472</v>
      </c>
      <c r="P185" s="8">
        <v>80.831527935520597</v>
      </c>
    </row>
    <row r="186" spans="1:16" x14ac:dyDescent="0.2">
      <c r="A186" s="7">
        <v>44883</v>
      </c>
      <c r="B186" s="4">
        <v>85.68</v>
      </c>
      <c r="C186" s="4">
        <v>90.339995999999999</v>
      </c>
      <c r="D186" s="4">
        <v>85.68</v>
      </c>
      <c r="E186" s="4">
        <v>87.5</v>
      </c>
      <c r="F186" s="6">
        <v>86.01800080000001</v>
      </c>
      <c r="G186" s="6">
        <v>80.27100034999998</v>
      </c>
      <c r="H186" s="3">
        <v>85.794668066666659</v>
      </c>
      <c r="I186" s="3">
        <v>86.241333533333346</v>
      </c>
      <c r="J186">
        <v>83.392991140295109</v>
      </c>
      <c r="K186" s="5">
        <v>83.005798385844813</v>
      </c>
      <c r="L186" s="5">
        <v>0.38719275445029666</v>
      </c>
      <c r="M186" s="5">
        <v>0.3553066038641377</v>
      </c>
    </row>
    <row r="187" spans="1:16" x14ac:dyDescent="0.2">
      <c r="A187" s="7">
        <v>44887</v>
      </c>
      <c r="B187" s="4">
        <v>87.800003000000004</v>
      </c>
      <c r="C187" s="4">
        <v>88.830001999999993</v>
      </c>
      <c r="D187" s="4">
        <v>85.080001999999993</v>
      </c>
      <c r="E187" s="4">
        <v>85.580001999999993</v>
      </c>
      <c r="F187" s="6">
        <v>85.988000599999992</v>
      </c>
      <c r="G187" s="6">
        <v>80.960000299999976</v>
      </c>
      <c r="H187" s="3">
        <v>85.880667266666677</v>
      </c>
      <c r="I187" s="3">
        <v>86.095333933333336</v>
      </c>
      <c r="J187">
        <v>83.729454349480477</v>
      </c>
      <c r="K187" s="5">
        <v>83.554991944717699</v>
      </c>
      <c r="L187" s="5">
        <v>0.17446240476277808</v>
      </c>
      <c r="M187" s="5">
        <v>0.33627561384262111</v>
      </c>
    </row>
    <row r="188" spans="1:16" x14ac:dyDescent="0.2">
      <c r="A188" s="7">
        <v>44888</v>
      </c>
      <c r="B188" s="4">
        <v>85.480002999999996</v>
      </c>
      <c r="C188" s="4">
        <v>87.75</v>
      </c>
      <c r="D188" s="4">
        <v>84.910004000000001</v>
      </c>
      <c r="E188" s="4">
        <v>86.989998</v>
      </c>
      <c r="F188" s="6">
        <v>86.272000200000008</v>
      </c>
      <c r="G188" s="6">
        <v>81.641000049999974</v>
      </c>
      <c r="H188" s="3">
        <v>86.11466733333333</v>
      </c>
      <c r="I188" s="3">
        <v>86.429333066666658</v>
      </c>
      <c r="J188">
        <v>84.231076449560391</v>
      </c>
      <c r="K188" s="5">
        <v>83.970976101370809</v>
      </c>
      <c r="L188" s="5">
        <v>0.26010034818958161</v>
      </c>
      <c r="M188" s="5">
        <v>0.33258140544517784</v>
      </c>
    </row>
    <row r="189" spans="1:16" x14ac:dyDescent="0.2">
      <c r="A189" s="7">
        <v>44889</v>
      </c>
      <c r="B189" s="4">
        <v>86.989998</v>
      </c>
      <c r="C189" s="4">
        <v>87.529999000000004</v>
      </c>
      <c r="D189" s="4">
        <v>85.690002000000007</v>
      </c>
      <c r="E189" s="4">
        <v>87.400002000000001</v>
      </c>
      <c r="F189" s="6">
        <v>86.569999800000005</v>
      </c>
      <c r="G189" s="6">
        <v>82.250000099999994</v>
      </c>
      <c r="H189" s="3">
        <v>86.334665933333326</v>
      </c>
      <c r="I189" s="3">
        <v>86.805333666666655</v>
      </c>
      <c r="J189">
        <v>84.718603457320327</v>
      </c>
      <c r="K189" s="5">
        <v>84.465811675518893</v>
      </c>
      <c r="L189" s="5">
        <v>0.25279178180143447</v>
      </c>
      <c r="M189" s="5">
        <v>0.32147839086893115</v>
      </c>
    </row>
    <row r="190" spans="1:16" x14ac:dyDescent="0.2">
      <c r="A190" s="7">
        <v>44890</v>
      </c>
      <c r="B190" s="4">
        <v>87.25</v>
      </c>
      <c r="C190" s="4">
        <v>88.989998</v>
      </c>
      <c r="D190" s="4">
        <v>82</v>
      </c>
      <c r="E190" s="4">
        <v>86.489998</v>
      </c>
      <c r="F190" s="6">
        <v>86.792000000000002</v>
      </c>
      <c r="G190" s="6">
        <v>82.844500100000005</v>
      </c>
      <c r="H190" s="3">
        <v>86.805333599999983</v>
      </c>
      <c r="I190" s="3">
        <v>86.778666399999992</v>
      </c>
      <c r="J190">
        <v>84.991125694655665</v>
      </c>
      <c r="K190" s="5">
        <v>84.8498178678892</v>
      </c>
      <c r="L190" s="5">
        <v>0.14130782676646447</v>
      </c>
      <c r="M190" s="5">
        <v>0.29861087014645371</v>
      </c>
    </row>
    <row r="191" spans="1:16" x14ac:dyDescent="0.2">
      <c r="A191" s="7">
        <v>44893</v>
      </c>
      <c r="B191" s="4">
        <v>86.419998000000007</v>
      </c>
      <c r="C191" s="4">
        <v>87.419998000000007</v>
      </c>
      <c r="D191" s="4">
        <v>83.709998999999996</v>
      </c>
      <c r="E191" s="4">
        <v>83.709998999999996</v>
      </c>
      <c r="F191" s="6">
        <v>86.033999800000004</v>
      </c>
      <c r="G191" s="6">
        <v>83.289999900000012</v>
      </c>
      <c r="H191" s="3">
        <v>86.316666866666665</v>
      </c>
      <c r="I191" s="3">
        <v>85.751332733333328</v>
      </c>
      <c r="J191">
        <v>84.794029280093241</v>
      </c>
      <c r="K191" s="5">
        <v>84.896227420977468</v>
      </c>
      <c r="L191" s="5">
        <v>-0.10219814088422652</v>
      </c>
      <c r="M191" s="5">
        <v>0.2347663006968885</v>
      </c>
    </row>
    <row r="192" spans="1:16" x14ac:dyDescent="0.2">
      <c r="A192" s="7">
        <v>44894</v>
      </c>
      <c r="B192" s="4">
        <v>84</v>
      </c>
      <c r="C192" s="4">
        <v>85</v>
      </c>
      <c r="D192" s="4">
        <v>81.209998999999996</v>
      </c>
      <c r="E192" s="4">
        <v>82</v>
      </c>
      <c r="F192" s="6">
        <v>85.317999399999991</v>
      </c>
      <c r="G192" s="6">
        <v>83.568499899999992</v>
      </c>
      <c r="H192" s="3">
        <v>86.229332666666664</v>
      </c>
      <c r="I192" s="3">
        <v>84.406666133333331</v>
      </c>
      <c r="J192">
        <v>84.364178621617356</v>
      </c>
      <c r="K192" s="5">
        <v>84.587064148234489</v>
      </c>
      <c r="L192" s="5">
        <v>-0.22288552661713368</v>
      </c>
      <c r="M192" s="5">
        <v>0.1670054833057214</v>
      </c>
    </row>
    <row r="193" spans="1:13" x14ac:dyDescent="0.2">
      <c r="A193" s="7">
        <v>44895</v>
      </c>
      <c r="B193" s="4">
        <v>81.809997999999993</v>
      </c>
      <c r="C193" s="4">
        <v>82.269997000000004</v>
      </c>
      <c r="D193" s="4">
        <v>78.620002999999997</v>
      </c>
      <c r="E193" s="4">
        <v>81.870002999999997</v>
      </c>
      <c r="F193" s="6">
        <v>84.294000399999987</v>
      </c>
      <c r="G193" s="6">
        <v>83.821500150000006</v>
      </c>
      <c r="H193" s="3">
        <v>85.330666800000003</v>
      </c>
      <c r="I193" s="3">
        <v>83.257334</v>
      </c>
      <c r="J193">
        <v>83.980459295214686</v>
      </c>
      <c r="K193" s="5">
        <v>84.179424871867909</v>
      </c>
      <c r="L193" s="5">
        <v>-0.19896557665322234</v>
      </c>
      <c r="M193" s="5">
        <v>0.10550352291111015</v>
      </c>
    </row>
    <row r="194" spans="1:13" x14ac:dyDescent="0.2">
      <c r="A194" s="7">
        <v>44896</v>
      </c>
      <c r="B194" s="4">
        <v>82.230002999999996</v>
      </c>
      <c r="C194" s="4">
        <v>82.849997999999999</v>
      </c>
      <c r="D194" s="4">
        <v>80.699996999999996</v>
      </c>
      <c r="E194" s="4">
        <v>82.25</v>
      </c>
      <c r="F194" s="6">
        <v>83.263999999999996</v>
      </c>
      <c r="G194" s="6">
        <v>83.83900005000001</v>
      </c>
      <c r="H194" s="3">
        <v>83.951999466666678</v>
      </c>
      <c r="I194" s="3">
        <v>82.576000533333342</v>
      </c>
      <c r="J194">
        <v>83.71423478825858</v>
      </c>
      <c r="K194" s="5">
        <v>83.852277125198782</v>
      </c>
      <c r="L194" s="5">
        <v>-0.1380423369402024</v>
      </c>
      <c r="M194" s="5">
        <v>6.1529281652863373E-2</v>
      </c>
    </row>
    <row r="195" spans="1:13" x14ac:dyDescent="0.2">
      <c r="A195" s="7">
        <v>44897</v>
      </c>
      <c r="B195" s="4">
        <v>82.239998</v>
      </c>
      <c r="C195" s="4">
        <v>83.940002000000007</v>
      </c>
      <c r="D195" s="4">
        <v>81.309997999999993</v>
      </c>
      <c r="E195" s="4">
        <v>83.089995999999999</v>
      </c>
      <c r="F195" s="6">
        <v>82.583999599999999</v>
      </c>
      <c r="G195" s="6">
        <v>84.014999849999995</v>
      </c>
      <c r="H195" s="3">
        <v>82.65</v>
      </c>
      <c r="I195" s="3">
        <v>82.517999199999991</v>
      </c>
      <c r="J195">
        <v>83.618198051603414</v>
      </c>
      <c r="K195" s="5">
        <v>83.667994878017211</v>
      </c>
      <c r="L195" s="5">
        <v>-4.979682641379668E-2</v>
      </c>
      <c r="M195" s="5">
        <v>1.2974883779075222E-2</v>
      </c>
    </row>
    <row r="196" spans="1:13" x14ac:dyDescent="0.2">
      <c r="A196" s="7">
        <v>44900</v>
      </c>
      <c r="B196" s="4">
        <v>83.25</v>
      </c>
      <c r="C196" s="4">
        <v>84.989998</v>
      </c>
      <c r="D196" s="4">
        <v>82.050003000000004</v>
      </c>
      <c r="E196" s="4">
        <v>83.580001999999993</v>
      </c>
      <c r="F196" s="6">
        <v>82.558000199999995</v>
      </c>
      <c r="G196" s="6">
        <v>84.140499949999992</v>
      </c>
      <c r="H196" s="3">
        <v>82.266000399999996</v>
      </c>
      <c r="I196" s="3">
        <v>82.85</v>
      </c>
      <c r="J196">
        <v>83.612321735972117</v>
      </c>
      <c r="K196" s="5">
        <v>83.615368714447612</v>
      </c>
      <c r="L196" s="5">
        <v>-3.0469784754956208E-3</v>
      </c>
      <c r="M196" s="5">
        <v>-6.74838102517741E-3</v>
      </c>
    </row>
    <row r="197" spans="1:13" x14ac:dyDescent="0.2">
      <c r="A197" s="7">
        <v>44901</v>
      </c>
      <c r="B197" s="4">
        <v>83.349997999999999</v>
      </c>
      <c r="C197" s="4">
        <v>85.260002</v>
      </c>
      <c r="D197" s="4">
        <v>81.790001000000004</v>
      </c>
      <c r="E197" s="4">
        <v>82.050003000000004</v>
      </c>
      <c r="F197" s="6">
        <v>82.568000799999993</v>
      </c>
      <c r="G197" s="6">
        <v>84.22999999999999</v>
      </c>
      <c r="H197" s="3">
        <v>82.455333999999993</v>
      </c>
      <c r="I197" s="3">
        <v>82.680667599999992</v>
      </c>
      <c r="J197">
        <v>83.371965007361027</v>
      </c>
      <c r="K197" s="5">
        <v>83.496594422196395</v>
      </c>
      <c r="L197" s="5">
        <v>-0.12462941483536838</v>
      </c>
      <c r="M197" s="5">
        <v>-4.9496132472394073E-2</v>
      </c>
    </row>
    <row r="198" spans="1:13" x14ac:dyDescent="0.2">
      <c r="A198" s="7">
        <v>44902</v>
      </c>
      <c r="B198" s="4">
        <v>82.400002000000001</v>
      </c>
      <c r="C198" s="4">
        <v>85.419998000000007</v>
      </c>
      <c r="D198" s="4">
        <v>82.25</v>
      </c>
      <c r="E198" s="4">
        <v>83.370002999999997</v>
      </c>
      <c r="F198" s="6">
        <v>82.86800079999999</v>
      </c>
      <c r="G198" s="6">
        <v>84.320500249999995</v>
      </c>
      <c r="H198" s="3">
        <v>82.787999933333325</v>
      </c>
      <c r="I198" s="3">
        <v>82.94800166666667</v>
      </c>
      <c r="J198">
        <v>83.371663160074718</v>
      </c>
      <c r="K198" s="5">
        <v>83.371819673482435</v>
      </c>
      <c r="L198" s="5">
        <v>-1.5651340771682953E-4</v>
      </c>
      <c r="M198" s="5">
        <v>-7.7601498606744215E-2</v>
      </c>
    </row>
    <row r="199" spans="1:13" x14ac:dyDescent="0.2">
      <c r="A199" s="7">
        <v>44903</v>
      </c>
      <c r="B199" s="4">
        <v>83.489998</v>
      </c>
      <c r="C199" s="4">
        <v>87.650002000000001</v>
      </c>
      <c r="D199" s="4">
        <v>83.480002999999996</v>
      </c>
      <c r="E199" s="4">
        <v>85.660004000000001</v>
      </c>
      <c r="F199" s="6">
        <v>83.550001600000002</v>
      </c>
      <c r="G199" s="6">
        <v>84.525000450000007</v>
      </c>
      <c r="H199" s="3">
        <v>83.221333799999996</v>
      </c>
      <c r="I199" s="3">
        <v>83.878669400000007</v>
      </c>
      <c r="J199">
        <v>83.723715596986295</v>
      </c>
      <c r="K199" s="5">
        <v>83.541169888958066</v>
      </c>
      <c r="L199" s="5">
        <v>0.18254570802822911</v>
      </c>
      <c r="M199" s="5">
        <v>-7.3019511799881476E-2</v>
      </c>
    </row>
    <row r="200" spans="1:13" x14ac:dyDescent="0.2">
      <c r="A200" s="7">
        <v>44904</v>
      </c>
      <c r="B200" s="4">
        <v>84.790001000000004</v>
      </c>
      <c r="C200" s="4">
        <v>86.760002</v>
      </c>
      <c r="D200" s="4">
        <v>84.110000999999997</v>
      </c>
      <c r="E200" s="4">
        <v>85.790001000000004</v>
      </c>
      <c r="F200" s="6">
        <v>84.090002600000005</v>
      </c>
      <c r="G200" s="6">
        <v>84.670500649999994</v>
      </c>
      <c r="H200" s="3">
        <v>83.554669333333337</v>
      </c>
      <c r="I200" s="3">
        <v>84.62533586666666</v>
      </c>
      <c r="J200">
        <v>84.041605658988402</v>
      </c>
      <c r="K200" s="5">
        <v>83.876773774987299</v>
      </c>
      <c r="L200" s="5">
        <v>0.16483188400110294</v>
      </c>
      <c r="M200" s="5">
        <v>-4.3349509034844878E-2</v>
      </c>
    </row>
    <row r="201" spans="1:13" x14ac:dyDescent="0.2">
      <c r="A201" s="7">
        <v>44908</v>
      </c>
      <c r="B201" s="4">
        <v>86.099997999999999</v>
      </c>
      <c r="C201" s="4">
        <v>88.959998999999996</v>
      </c>
      <c r="D201" s="4">
        <v>85.800003000000004</v>
      </c>
      <c r="E201" s="4">
        <v>86.980002999999996</v>
      </c>
      <c r="F201" s="6">
        <v>84.770002800000015</v>
      </c>
      <c r="G201" s="6">
        <v>84.845000900000002</v>
      </c>
      <c r="H201" s="3">
        <v>83.951336266666672</v>
      </c>
      <c r="I201" s="3">
        <v>85.588669333333328</v>
      </c>
      <c r="J201">
        <v>84.493666788374796</v>
      </c>
      <c r="K201" s="5">
        <v>84.259264721285547</v>
      </c>
      <c r="L201" s="5">
        <v>0.23440206708924904</v>
      </c>
      <c r="M201" s="5">
        <v>7.4602235991976483E-3</v>
      </c>
    </row>
    <row r="202" spans="1:13" x14ac:dyDescent="0.2">
      <c r="A202" s="7">
        <v>44909</v>
      </c>
      <c r="B202" s="4">
        <v>87.150002000000001</v>
      </c>
      <c r="C202" s="4">
        <v>87.959998999999996</v>
      </c>
      <c r="D202" s="4">
        <v>84.199996999999996</v>
      </c>
      <c r="E202" s="4">
        <v>86.080001999999993</v>
      </c>
      <c r="F202" s="6">
        <v>85.57600260000001</v>
      </c>
      <c r="G202" s="6">
        <v>84.862500849999989</v>
      </c>
      <c r="H202" s="3">
        <v>85.126669466666669</v>
      </c>
      <c r="I202" s="3">
        <v>86.025335733333335</v>
      </c>
      <c r="J202">
        <v>84.737718359394052</v>
      </c>
      <c r="K202" s="5">
        <v>84.611173100347045</v>
      </c>
      <c r="L202" s="5">
        <v>0.1265452590470062</v>
      </c>
      <c r="M202" s="5">
        <v>4.3628094232556376E-2</v>
      </c>
    </row>
    <row r="203" spans="1:13" x14ac:dyDescent="0.2">
      <c r="A203" s="7">
        <v>44910</v>
      </c>
      <c r="B203" s="4">
        <v>85.589995999999999</v>
      </c>
      <c r="C203" s="4">
        <v>85.900002000000001</v>
      </c>
      <c r="D203" s="4">
        <v>84.110000999999997</v>
      </c>
      <c r="E203" s="4">
        <v>84.419998000000007</v>
      </c>
      <c r="F203" s="6">
        <v>85.786001599999992</v>
      </c>
      <c r="G203" s="6">
        <v>84.805000750000005</v>
      </c>
      <c r="H203" s="3">
        <v>85.93200233333333</v>
      </c>
      <c r="I203" s="3">
        <v>85.640000866666668</v>
      </c>
      <c r="J203">
        <v>84.68883830410266</v>
      </c>
      <c r="K203" s="5">
        <v>84.714183517957451</v>
      </c>
      <c r="L203" s="5">
        <v>-2.5345213854791382E-2</v>
      </c>
      <c r="M203" s="5">
        <v>5.6149996797602048E-2</v>
      </c>
    </row>
  </sheetData>
  <autoFilter ref="A1:E203" xr:uid="{00000000-0009-0000-0000-000000000000}">
    <sortState xmlns:xlrd2="http://schemas.microsoft.com/office/spreadsheetml/2017/richdata2" ref="A2:E203">
      <sortCondition ref="A1:A203"/>
    </sortState>
  </autoFilter>
  <pageMargins left="0.7" right="0.7" top="0.75" bottom="0.75" header="0.3" footer="0.3"/>
  <pageSetup orientation="portrait" horizontalDpi="0" verticalDpi="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321EC-6796-486E-957A-2337CF9698CD}">
  <sheetPr codeName="Sheet3"/>
  <dimension ref="B1:B2"/>
  <sheetViews>
    <sheetView zoomScale="134" workbookViewId="0">
      <pane xSplit="1" ySplit="4" topLeftCell="B5" activePane="bottomRight" state="frozen"/>
      <selection pane="topRight" activeCell="B1" sqref="B1"/>
      <selection pane="bottomLeft" activeCell="A5" sqref="A5"/>
      <selection pane="bottomRight" activeCell="E27" sqref="E27"/>
    </sheetView>
  </sheetViews>
  <sheetFormatPr baseColWidth="10" defaultColWidth="8.83203125" defaultRowHeight="15" x14ac:dyDescent="0.2"/>
  <cols>
    <col min="2" max="2" width="14.1640625" customWidth="1"/>
  </cols>
  <sheetData>
    <row r="1" spans="2:2" x14ac:dyDescent="0.2">
      <c r="B1" t="s">
        <v>18</v>
      </c>
    </row>
    <row r="2" spans="2:2" x14ac:dyDescent="0.2">
      <c r="B2" t="s">
        <v>23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defaultSize="0" autoLine="0" autoPict="0">
                <anchor moveWithCells="1">
                  <from>
                    <xdr:col>1</xdr:col>
                    <xdr:colOff>114300</xdr:colOff>
                    <xdr:row>2</xdr:row>
                    <xdr:rowOff>38100</xdr:rowOff>
                  </from>
                  <to>
                    <xdr:col>4</xdr:col>
                    <xdr:colOff>546100</xdr:colOff>
                    <xdr:row>3</xdr:row>
                    <xdr:rowOff>152400</xdr:rowOff>
                  </to>
                </anchor>
              </controlPr>
            </control>
          </mc:Choice>
        </mc:AlternateContent>
        <mc:AlternateContent xmlns:mc="http://schemas.openxmlformats.org/markup-compatibility/2006">
          <mc:Choice Requires="x14">
            <control shapeId="2050" r:id="rId4" name="Button 2">
              <controlPr defaultSize="0" print="0" autoFill="0" autoPict="0" macro="[0]!maestroMM">
                <anchor moveWithCells="1" sizeWithCells="1">
                  <from>
                    <xdr:col>5</xdr:col>
                    <xdr:colOff>0</xdr:colOff>
                    <xdr:row>2</xdr:row>
                    <xdr:rowOff>12700</xdr:rowOff>
                  </from>
                  <to>
                    <xdr:col>7</xdr:col>
                    <xdr:colOff>38100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EB752-0C26-4570-AC04-921AC0F5A01F}">
  <sheetPr codeName="Sheet4"/>
  <dimension ref="A1:G10"/>
  <sheetViews>
    <sheetView workbookViewId="0">
      <selection activeCell="G16" sqref="G16"/>
    </sheetView>
  </sheetViews>
  <sheetFormatPr baseColWidth="10" defaultColWidth="8.83203125" defaultRowHeight="15" x14ac:dyDescent="0.2"/>
  <cols>
    <col min="2" max="2" width="32.33203125" bestFit="1" customWidth="1"/>
    <col min="7" max="7" width="46.83203125" bestFit="1" customWidth="1"/>
  </cols>
  <sheetData>
    <row r="1" spans="1:7" x14ac:dyDescent="0.2">
      <c r="A1">
        <v>1</v>
      </c>
      <c r="B1" t="s">
        <v>19</v>
      </c>
      <c r="C1">
        <v>6</v>
      </c>
    </row>
    <row r="2" spans="1:7" x14ac:dyDescent="0.2">
      <c r="A2">
        <v>2</v>
      </c>
      <c r="B2" t="s">
        <v>20</v>
      </c>
    </row>
    <row r="3" spans="1:7" x14ac:dyDescent="0.2">
      <c r="A3">
        <v>3</v>
      </c>
      <c r="B3" t="s">
        <v>21</v>
      </c>
    </row>
    <row r="4" spans="1:7" x14ac:dyDescent="0.2">
      <c r="A4">
        <v>4</v>
      </c>
      <c r="B4" t="s">
        <v>22</v>
      </c>
      <c r="F4">
        <v>1</v>
      </c>
      <c r="G4" t="s">
        <v>41</v>
      </c>
    </row>
    <row r="5" spans="1:7" x14ac:dyDescent="0.2">
      <c r="A5">
        <v>5</v>
      </c>
      <c r="B5" t="s">
        <v>28</v>
      </c>
      <c r="F5">
        <v>2</v>
      </c>
      <c r="G5" t="s">
        <v>42</v>
      </c>
    </row>
    <row r="6" spans="1:7" x14ac:dyDescent="0.2">
      <c r="A6">
        <v>6</v>
      </c>
      <c r="B6" t="s">
        <v>29</v>
      </c>
      <c r="F6">
        <v>3</v>
      </c>
      <c r="G6" t="s">
        <v>39</v>
      </c>
    </row>
    <row r="7" spans="1:7" x14ac:dyDescent="0.2">
      <c r="F7">
        <v>4</v>
      </c>
      <c r="G7" t="s">
        <v>37</v>
      </c>
    </row>
    <row r="8" spans="1:7" x14ac:dyDescent="0.2">
      <c r="F8">
        <v>5</v>
      </c>
      <c r="G8" t="s">
        <v>38</v>
      </c>
    </row>
    <row r="9" spans="1:7" x14ac:dyDescent="0.2">
      <c r="F9">
        <v>6</v>
      </c>
      <c r="G9" t="s">
        <v>36</v>
      </c>
    </row>
    <row r="10" spans="1:7" x14ac:dyDescent="0.2">
      <c r="F10">
        <v>7</v>
      </c>
      <c r="G10" t="s">
        <v>40</v>
      </c>
    </row>
  </sheetData>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B98A1-C564-524E-A386-039095673EC6}">
  <sheetPr codeName="Sheet6"/>
  <dimension ref="A1:C9"/>
  <sheetViews>
    <sheetView workbookViewId="0">
      <selection activeCell="B21" sqref="B21"/>
    </sheetView>
  </sheetViews>
  <sheetFormatPr baseColWidth="10" defaultRowHeight="15" x14ac:dyDescent="0.2"/>
  <cols>
    <col min="2" max="2" width="46.83203125" bestFit="1" customWidth="1"/>
    <col min="3" max="3" width="11.33203125" bestFit="1" customWidth="1"/>
  </cols>
  <sheetData>
    <row r="1" spans="1:3" x14ac:dyDescent="0.2">
      <c r="A1" t="s">
        <v>43</v>
      </c>
      <c r="B1" t="s">
        <v>44</v>
      </c>
      <c r="C1" t="s">
        <v>45</v>
      </c>
    </row>
    <row r="2" spans="1:3" x14ac:dyDescent="0.2">
      <c r="A2">
        <v>0</v>
      </c>
      <c r="B2" t="s">
        <v>53</v>
      </c>
      <c r="C2" t="s">
        <v>57</v>
      </c>
    </row>
    <row r="3" spans="1:3" x14ac:dyDescent="0.2">
      <c r="A3">
        <v>1</v>
      </c>
      <c r="B3" t="s">
        <v>41</v>
      </c>
      <c r="C3" t="s">
        <v>52</v>
      </c>
    </row>
    <row r="4" spans="1:3" x14ac:dyDescent="0.2">
      <c r="A4">
        <v>2</v>
      </c>
      <c r="B4" t="s">
        <v>42</v>
      </c>
      <c r="C4" t="s">
        <v>46</v>
      </c>
    </row>
    <row r="5" spans="1:3" x14ac:dyDescent="0.2">
      <c r="A5">
        <v>3</v>
      </c>
      <c r="B5" t="s">
        <v>39</v>
      </c>
      <c r="C5" t="s">
        <v>47</v>
      </c>
    </row>
    <row r="6" spans="1:3" x14ac:dyDescent="0.2">
      <c r="A6">
        <v>4</v>
      </c>
      <c r="B6" t="s">
        <v>37</v>
      </c>
      <c r="C6" t="s">
        <v>48</v>
      </c>
    </row>
    <row r="7" spans="1:3" x14ac:dyDescent="0.2">
      <c r="A7">
        <v>5</v>
      </c>
      <c r="B7" t="s">
        <v>38</v>
      </c>
      <c r="C7" t="s">
        <v>49</v>
      </c>
    </row>
    <row r="8" spans="1:3" x14ac:dyDescent="0.2">
      <c r="A8">
        <v>6</v>
      </c>
      <c r="B8" t="s">
        <v>36</v>
      </c>
      <c r="C8" t="s">
        <v>50</v>
      </c>
    </row>
    <row r="9" spans="1:3" x14ac:dyDescent="0.2">
      <c r="A9">
        <v>7</v>
      </c>
      <c r="B9" t="s">
        <v>40</v>
      </c>
      <c r="C9"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UX (2)</vt:lpstr>
      <vt:lpstr>UX</vt:lpstr>
      <vt:lpstr>BIMBOA.MX (2)</vt:lpstr>
      <vt:lpstr>Datos</vt:lpstr>
      <vt:lpstr>Graficos</vt:lpstr>
      <vt:lpstr>Aux</vt:lpstr>
      <vt:lpstr>Referencias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Ruben Núñez Sánchez</cp:lastModifiedBy>
  <dcterms:created xsi:type="dcterms:W3CDTF">2023-03-01T02:04:29Z</dcterms:created>
  <dcterms:modified xsi:type="dcterms:W3CDTF">2023-04-26T22:58:26Z</dcterms:modified>
</cp:coreProperties>
</file>